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bilitytecnologiabrcom-my.sharepoint.com/personal/anderson_bortolamedi_abilitytecnologia_com_br/Documents/Bases_Controle_SC/Bases Consulta/"/>
    </mc:Choice>
  </mc:AlternateContent>
  <xr:revisionPtr revIDLastSave="22586" documentId="8_{75F398DA-7C2B-43A7-9B09-B9B9CDD195AB}" xr6:coauthVersionLast="47" xr6:coauthVersionMax="47" xr10:uidLastSave="{917C32E3-5B12-4A59-A20C-76DEFD1254F4}"/>
  <bookViews>
    <workbookView xWindow="-120" yWindow="-120" windowWidth="20730" windowHeight="11040" tabRatio="774" firstSheet="2" activeTab="2" xr2:uid="{7D81E428-CC76-4789-8287-B75737980914}"/>
  </bookViews>
  <sheets>
    <sheet name="Lista Pendencia" sheetId="3" state="hidden" r:id="rId1"/>
    <sheet name="Presença" sheetId="2" r:id="rId2"/>
    <sheet name="Técnicos" sheetId="1" r:id="rId3"/>
    <sheet name="Desligado" sheetId="4" r:id="rId4"/>
    <sheet name="Dinamica_Setor" sheetId="9" r:id="rId5"/>
    <sheet name="CO Digital_Falha" sheetId="8" r:id="rId6"/>
    <sheet name="HC_Eng" sheetId="10" r:id="rId7"/>
    <sheet name="Dados" sheetId="12" r:id="rId8"/>
    <sheet name="Eficiencia" sheetId="11" r:id="rId9"/>
    <sheet name="TecnicoXSetorXSuper" sheetId="14" r:id="rId10"/>
    <sheet name="Inventário" sheetId="15" r:id="rId11"/>
  </sheets>
  <definedNames>
    <definedName name="_xlnm._FilterDatabase" localSheetId="5" hidden="1">'CO Digital_Falha'!#REF!</definedName>
    <definedName name="_xlnm._FilterDatabase" localSheetId="3" hidden="1">Desligado!$A$1:$P$36</definedName>
    <definedName name="_xlnm._FilterDatabase" localSheetId="8" hidden="1">Eficiencia!$P$134:$P$134</definedName>
    <definedName name="_xlnm._FilterDatabase" localSheetId="6" hidden="1">HC_Eng!$E$1:$S$20</definedName>
    <definedName name="_xlnm._FilterDatabase" localSheetId="10" hidden="1">Inventário!#REF!</definedName>
    <definedName name="_xlnm._FilterDatabase" localSheetId="2" hidden="1">Técnicos!$M$124:$M$124</definedName>
    <definedName name="_xlnm._FilterDatabase" localSheetId="9" hidden="1">TecnicoXSetorXSuper!#REF!</definedName>
    <definedName name="SegmentaçãodeDados_OPERADORA">#N/A</definedName>
    <definedName name="SegmentaçãodeDados_SETOR_ORIGEM">#N/A</definedName>
    <definedName name="SegmentaçãodeDados_Status">#N/A</definedName>
  </definedNames>
  <calcPr calcId="191028"/>
  <pivotCaches>
    <pivotCache cacheId="0" r:id="rId12"/>
    <pivotCache cacheId="1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E15" i="2" l="1"/>
  <c r="FZ15" i="2"/>
  <c r="FY15" i="2"/>
  <c r="FX15" i="2"/>
  <c r="FW15" i="2"/>
  <c r="FV15" i="2"/>
  <c r="FU15" i="2"/>
  <c r="FT15" i="2"/>
  <c r="FS15" i="2"/>
  <c r="FR15" i="2"/>
  <c r="FQ15" i="2"/>
  <c r="FP15" i="2"/>
  <c r="FO15" i="2"/>
  <c r="FN15" i="2"/>
  <c r="FM15" i="2"/>
  <c r="FL15" i="2"/>
  <c r="FK15" i="2"/>
  <c r="FJ15" i="2"/>
  <c r="FI15" i="2"/>
  <c r="FH15" i="2"/>
  <c r="FG15" i="2"/>
  <c r="FF15" i="2"/>
  <c r="FD15" i="2"/>
  <c r="FC15" i="2"/>
  <c r="FB15" i="2"/>
  <c r="FA15" i="2"/>
  <c r="EZ15" i="2"/>
  <c r="EY15" i="2"/>
  <c r="EX15" i="2"/>
  <c r="EW15" i="2"/>
  <c r="D7" i="3"/>
  <c r="EV15" i="2"/>
  <c r="EU15" i="2"/>
  <c r="ET15" i="2"/>
  <c r="ES15" i="2"/>
  <c r="ER15" i="2"/>
  <c r="EQ15" i="2"/>
  <c r="EP15" i="2"/>
  <c r="EO15" i="2"/>
  <c r="EN15" i="2"/>
  <c r="EM15" i="2"/>
  <c r="EL15" i="2"/>
  <c r="EK15" i="2"/>
  <c r="EJ15" i="2"/>
  <c r="EI15" i="2"/>
  <c r="EH15" i="2"/>
  <c r="EG15" i="2"/>
  <c r="EF15" i="2"/>
  <c r="EE15" i="2"/>
  <c r="ED15" i="2"/>
  <c r="EC15" i="2"/>
  <c r="EB15" i="2"/>
  <c r="EA15" i="2"/>
  <c r="DZ15" i="2"/>
  <c r="DY15" i="2"/>
  <c r="DX15" i="2"/>
  <c r="DW15" i="2"/>
  <c r="DV15" i="2"/>
  <c r="DU15" i="2"/>
  <c r="DT15" i="2"/>
  <c r="DS15" i="2"/>
  <c r="DR15" i="2"/>
  <c r="DP15" i="2"/>
  <c r="DQ15" i="2"/>
  <c r="DO15" i="2"/>
  <c r="DN15" i="2"/>
  <c r="DM15" i="2"/>
  <c r="DL15" i="2"/>
  <c r="DK15" i="2"/>
  <c r="DJ15" i="2"/>
  <c r="DI15" i="2"/>
  <c r="DH15" i="2"/>
  <c r="DG15" i="2"/>
  <c r="CV15" i="2"/>
  <c r="CW15" i="2"/>
  <c r="CX15" i="2"/>
  <c r="CY15" i="2"/>
  <c r="CZ15" i="2"/>
  <c r="DA15" i="2"/>
  <c r="DB15" i="2"/>
  <c r="DC15" i="2"/>
  <c r="DD15" i="2"/>
  <c r="DE15" i="2"/>
  <c r="DF15" i="2"/>
  <c r="CQ15" i="2"/>
  <c r="CR15" i="2"/>
  <c r="CS15" i="2"/>
  <c r="CT15" i="2"/>
  <c r="CP15" i="2"/>
  <c r="CM15" i="2"/>
  <c r="CN15" i="2"/>
  <c r="CO15" i="2"/>
  <c r="CL15" i="2"/>
  <c r="CK15" i="2"/>
  <c r="CJ15" i="2"/>
  <c r="CI15" i="2"/>
  <c r="BN15" i="2"/>
  <c r="BG15" i="2"/>
  <c r="AV15" i="2"/>
  <c r="AT15" i="2"/>
  <c r="AS15" i="2"/>
  <c r="AR15" i="2"/>
  <c r="AM15" i="2"/>
  <c r="AL15" i="2"/>
  <c r="T15" i="2"/>
  <c r="S15" i="2"/>
  <c r="R15" i="2"/>
  <c r="N15" i="2" l="1"/>
  <c r="O15" i="2"/>
  <c r="M15" i="2"/>
  <c r="L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Juniomar Alex Mochnacz</author>
  </authors>
  <commentList>
    <comment ref="F1" authorId="0" shapeId="0" xr:uid="{39F35038-1030-4C69-B973-63BC6FCEE952}">
      <text>
        <r>
          <rPr>
            <b/>
            <sz val="9"/>
            <color indexed="81"/>
            <rFont val="Segoe UI"/>
            <family val="2"/>
          </rPr>
          <t>Juniomar Alex Mochnacz:</t>
        </r>
        <r>
          <rPr>
            <sz val="9"/>
            <color indexed="81"/>
            <rFont val="Segoe UI"/>
            <family val="2"/>
          </rPr>
          <t xml:space="preserve">
Não mudar NOME e Estilo bem como Nomes de TENANTE e NIO, base sendo utilziada no BI qualquer ajuste, pode impactar.</t>
        </r>
      </text>
    </comment>
  </commentList>
</comments>
</file>

<file path=xl/sharedStrings.xml><?xml version="1.0" encoding="utf-8"?>
<sst xmlns="http://schemas.openxmlformats.org/spreadsheetml/2006/main" count="9426" uniqueCount="888">
  <si>
    <t>Afastado</t>
  </si>
  <si>
    <t>Atestado</t>
  </si>
  <si>
    <t>Consulta Medica</t>
  </si>
  <si>
    <t>Desligado</t>
  </si>
  <si>
    <t>Duplado</t>
  </si>
  <si>
    <t>Em Contratação</t>
  </si>
  <si>
    <t>Falta</t>
  </si>
  <si>
    <t>Folga</t>
  </si>
  <si>
    <t>Luto Familiar</t>
  </si>
  <si>
    <t>Outros</t>
  </si>
  <si>
    <t>RH</t>
  </si>
  <si>
    <t>Saude</t>
  </si>
  <si>
    <t>Treinamento</t>
  </si>
  <si>
    <t>Veiculo Avaria</t>
  </si>
  <si>
    <t>Veiculo Manutenção</t>
  </si>
  <si>
    <t>Renovação de CNH</t>
  </si>
  <si>
    <t>Sistemico</t>
  </si>
  <si>
    <t>Técnico de Dados</t>
  </si>
  <si>
    <t>Afastado; Atestado; Consulta Medica; Desligado; Duplado; Em Contratação; Falta; Folga; Luto Familiar; Outros; RH; Saude; Treinamento; Veiculo Avaria; Veiculo Manutenção; Renovação de CNH; Sistemico; Técnico de Dados</t>
  </si>
  <si>
    <t>SAB</t>
  </si>
  <si>
    <t>DOM</t>
  </si>
  <si>
    <t>SEG</t>
  </si>
  <si>
    <t>TER</t>
  </si>
  <si>
    <t>QUAR</t>
  </si>
  <si>
    <t>QUI</t>
  </si>
  <si>
    <t>SEX</t>
  </si>
  <si>
    <t>QUA</t>
  </si>
  <si>
    <t>SÁB</t>
  </si>
  <si>
    <t>Força de Trabalho</t>
  </si>
  <si>
    <t>Ativos - Aby + SP</t>
  </si>
  <si>
    <t>Falta- Aby</t>
  </si>
  <si>
    <t>Veiculos</t>
  </si>
  <si>
    <t>TREINAMENTO</t>
  </si>
  <si>
    <t>Desligados</t>
  </si>
  <si>
    <t xml:space="preserve">SISTEMA </t>
  </si>
  <si>
    <t>TÉCNICOS DADOS</t>
  </si>
  <si>
    <t>Em contratação-Ability</t>
  </si>
  <si>
    <t>TOTAL</t>
  </si>
  <si>
    <t>UF</t>
  </si>
  <si>
    <t>TR</t>
  </si>
  <si>
    <t>TT</t>
  </si>
  <si>
    <t>FUNCIONÁRIO</t>
  </si>
  <si>
    <t>FUNÇÃO</t>
  </si>
  <si>
    <t>OPERADORA</t>
  </si>
  <si>
    <t>SUPERVISOR</t>
  </si>
  <si>
    <t>SETOR ORIGEM</t>
  </si>
  <si>
    <t>SETOR ATUAL</t>
  </si>
  <si>
    <t>Status</t>
  </si>
  <si>
    <t>Status_Check</t>
  </si>
  <si>
    <t>Eficiencia</t>
  </si>
  <si>
    <t>OPERADORA ATUAÇÃO</t>
  </si>
  <si>
    <t>Inicio Ind</t>
  </si>
  <si>
    <t>Previsão Retorno</t>
  </si>
  <si>
    <t>Observação</t>
  </si>
  <si>
    <t>SEF</t>
  </si>
  <si>
    <t>Coluna1</t>
  </si>
  <si>
    <t>COORDENADOR</t>
  </si>
  <si>
    <t>MUNICIPIO</t>
  </si>
  <si>
    <t>CP</t>
  </si>
  <si>
    <t>Faz os 2?</t>
  </si>
  <si>
    <t>C</t>
  </si>
  <si>
    <t>SC</t>
  </si>
  <si>
    <t>TR537702</t>
  </si>
  <si>
    <t>TT826817</t>
  </si>
  <si>
    <t>EVELTON AMARAL DOS SANTOS</t>
  </si>
  <si>
    <t>TÉCNICO MULTIFUNCIONAL</t>
  </si>
  <si>
    <t>TENANT/NIO</t>
  </si>
  <si>
    <t>CARLOS ROGERIO DA SILVA</t>
  </si>
  <si>
    <t>SC.VL2.BCU.11</t>
  </si>
  <si>
    <t>NIO | TIM</t>
  </si>
  <si>
    <t>JUNIOMAR MOCHNACZ</t>
  </si>
  <si>
    <t>RIO DO SUL</t>
  </si>
  <si>
    <t>Tim</t>
  </si>
  <si>
    <t>Não</t>
  </si>
  <si>
    <t>TR386095</t>
  </si>
  <si>
    <t>TT386095</t>
  </si>
  <si>
    <t>CRISTIANO GROSSKOPF</t>
  </si>
  <si>
    <t>NIO</t>
  </si>
  <si>
    <t>SC.VL2.IAI.12</t>
  </si>
  <si>
    <t>ITAJAI</t>
  </si>
  <si>
    <t>Sim</t>
  </si>
  <si>
    <t>TR003453</t>
  </si>
  <si>
    <t>TT003453</t>
  </si>
  <si>
    <t>MARCOS VENICIO BERNARDES</t>
  </si>
  <si>
    <t>Nio</t>
  </si>
  <si>
    <t>TR804338</t>
  </si>
  <si>
    <t>TT804338</t>
  </si>
  <si>
    <t>ALEXANDRE WILLIAN DE SOUZA</t>
  </si>
  <si>
    <t>TENANT</t>
  </si>
  <si>
    <t>TIM | CP</t>
  </si>
  <si>
    <t>TR705853</t>
  </si>
  <si>
    <t>TT705853</t>
  </si>
  <si>
    <t>EDIVAN GUIMARAES DA SILVA NETO</t>
  </si>
  <si>
    <t>SC.VL2.NVG.11</t>
  </si>
  <si>
    <t>NIO | TIM | CP</t>
  </si>
  <si>
    <t>TR800399</t>
  </si>
  <si>
    <t>TT800399</t>
  </si>
  <si>
    <t>JEFRI AYRES DA CRUZ</t>
  </si>
  <si>
    <t>TR820009</t>
  </si>
  <si>
    <t>TT823770</t>
  </si>
  <si>
    <t>MATHEUS ABILIO DA COSTA BOGA</t>
  </si>
  <si>
    <t>TR597559</t>
  </si>
  <si>
    <t>TT597559</t>
  </si>
  <si>
    <t>ANDERSON RODRIGUES CHAGAS</t>
  </si>
  <si>
    <t>NAVEGANTES</t>
  </si>
  <si>
    <t>TR549443</t>
  </si>
  <si>
    <t>TT549443</t>
  </si>
  <si>
    <t>MARCELO ALVES CUSTODIO</t>
  </si>
  <si>
    <t>TR820150</t>
  </si>
  <si>
    <t>TT823882</t>
  </si>
  <si>
    <t>DANIEL FIGUEIREDO NEVES</t>
  </si>
  <si>
    <t>TR775911</t>
  </si>
  <si>
    <t>TT775911</t>
  </si>
  <si>
    <t>PABLO RIBEIRO DA SILVA</t>
  </si>
  <si>
    <t>TR810966</t>
  </si>
  <si>
    <t>TT811185</t>
  </si>
  <si>
    <t>CHRISTIAN NUNES MACHADO</t>
  </si>
  <si>
    <t>CASSIO RICARDO FERNANDES AVILA</t>
  </si>
  <si>
    <t>SC.LESTE.PAC.11</t>
  </si>
  <si>
    <t>MAURI DUTRA</t>
  </si>
  <si>
    <t>PALHOCA</t>
  </si>
  <si>
    <t>TR750220</t>
  </si>
  <si>
    <t>TT750220</t>
  </si>
  <si>
    <t>TUAN LOPES FAGUNDES PEREIRA</t>
  </si>
  <si>
    <t>FLORIANOPOLIS</t>
  </si>
  <si>
    <t>TR810536</t>
  </si>
  <si>
    <t>TT810916</t>
  </si>
  <si>
    <t>CRISTIANO SOARES COELHO</t>
  </si>
  <si>
    <t>TECNICO CHEGA DIA 23/03 SC</t>
  </si>
  <si>
    <t>PALHOÇA</t>
  </si>
  <si>
    <t>TR790154</t>
  </si>
  <si>
    <t>TT790154</t>
  </si>
  <si>
    <t>FABIO DE SOUZA BARBOSA</t>
  </si>
  <si>
    <t>SAO JOSE</t>
  </si>
  <si>
    <t>TR525780</t>
  </si>
  <si>
    <t>TT828845</t>
  </si>
  <si>
    <t>CARLOS RODRIGO DE SOUZA</t>
  </si>
  <si>
    <t>SC.LESTE.SOO.11</t>
  </si>
  <si>
    <t>TT829508</t>
  </si>
  <si>
    <t>ALESSANDRO AMARAL DA CONCEICAO</t>
  </si>
  <si>
    <t>TR818957</t>
  </si>
  <si>
    <t>TT821513</t>
  </si>
  <si>
    <t>GABRIEL PEREIRA SALAZAR</t>
  </si>
  <si>
    <t>SC.LESTE.FNS.11</t>
  </si>
  <si>
    <t>TR819188</t>
  </si>
  <si>
    <t>TT822112</t>
  </si>
  <si>
    <t>GUSTAVO CLAUDIONOR SOARES</t>
  </si>
  <si>
    <t>Estourou Cabo de embreagem no plantão</t>
  </si>
  <si>
    <t>TR798959</t>
  </si>
  <si>
    <t>TT798959</t>
  </si>
  <si>
    <t>IGOR SANTOS DA SILVA</t>
  </si>
  <si>
    <t>TR789652</t>
  </si>
  <si>
    <t>TT789652</t>
  </si>
  <si>
    <t>JOSE LUIZ NERE GOMES FILHO</t>
  </si>
  <si>
    <t>TR695590</t>
  </si>
  <si>
    <t>TT695590</t>
  </si>
  <si>
    <t>LEONARD DAUM CARRASCO</t>
  </si>
  <si>
    <t>TT720812</t>
  </si>
  <si>
    <t>PABLO JAHN ALVES</t>
  </si>
  <si>
    <t>problema sistema</t>
  </si>
  <si>
    <t>TR818779</t>
  </si>
  <si>
    <t>TT821257</t>
  </si>
  <si>
    <t>ISMEL ROSABALES CANIZARES</t>
  </si>
  <si>
    <t>SC.SUL.CUA.11</t>
  </si>
  <si>
    <t>CRICIUMA</t>
  </si>
  <si>
    <t>TR500504</t>
  </si>
  <si>
    <t>TT500504</t>
  </si>
  <si>
    <t>JULIANO MACHADO MEDEIROS</t>
  </si>
  <si>
    <t>Veiculo deu problema no Plantão 14/03</t>
  </si>
  <si>
    <t>TR069683</t>
  </si>
  <si>
    <t>TT820851</t>
  </si>
  <si>
    <t>MAICON COLOMBO ZEFERINO</t>
  </si>
  <si>
    <t>TR134058</t>
  </si>
  <si>
    <t>TT134058</t>
  </si>
  <si>
    <t>VALDIRAN DA SILVA LEITE</t>
  </si>
  <si>
    <t>VERIFICAR</t>
  </si>
  <si>
    <t>TR819549</t>
  </si>
  <si>
    <t>TT822649</t>
  </si>
  <si>
    <t>JOSE ANTONIO MEDEIROS</t>
  </si>
  <si>
    <t>SC.SUL.TUB.11</t>
  </si>
  <si>
    <t>LAGES</t>
  </si>
  <si>
    <t>TR069663</t>
  </si>
  <si>
    <t>TT069663</t>
  </si>
  <si>
    <t>ALEXANDRE DE SOUZA JOVINO</t>
  </si>
  <si>
    <t>TUBARAO</t>
  </si>
  <si>
    <t>TR818778</t>
  </si>
  <si>
    <t>TT820850</t>
  </si>
  <si>
    <t>ERIEL RODRIGUEZ GOMEZ</t>
  </si>
  <si>
    <t>SC.SUL.YCA.11</t>
  </si>
  <si>
    <t>TR134056</t>
  </si>
  <si>
    <t>TT134056</t>
  </si>
  <si>
    <t>RANGEL DA SILVA PATRICIO</t>
  </si>
  <si>
    <t>TECNICO DE DADOS 2</t>
  </si>
  <si>
    <t>Baixa</t>
  </si>
  <si>
    <t>TR018009</t>
  </si>
  <si>
    <t>TT018009</t>
  </si>
  <si>
    <t>JONAS SILVA NUNES</t>
  </si>
  <si>
    <t>TR794904</t>
  </si>
  <si>
    <t>TT794904</t>
  </si>
  <si>
    <t>GIOVANI DA SILVA ANTUNES</t>
  </si>
  <si>
    <t>TC004017</t>
  </si>
  <si>
    <t>TT004017</t>
  </si>
  <si>
    <t>ANDRE LUIZ LOPES DE SA</t>
  </si>
  <si>
    <t>DANIEL OLIVEIRA</t>
  </si>
  <si>
    <t>SC.NORTE.JVE.11</t>
  </si>
  <si>
    <t>BLUMENAU</t>
  </si>
  <si>
    <t>TR817132</t>
  </si>
  <si>
    <t>TT821514</t>
  </si>
  <si>
    <t>GUILHERME COSTA MOREIRA</t>
  </si>
  <si>
    <t>JOINVILLE</t>
  </si>
  <si>
    <t>TR687140</t>
  </si>
  <si>
    <t>TT687140</t>
  </si>
  <si>
    <t>ARLEN VALDIR ZUCHO</t>
  </si>
  <si>
    <t>TR801349</t>
  </si>
  <si>
    <t>TT801349</t>
  </si>
  <si>
    <t>BRENO DA SILVA CRUZ</t>
  </si>
  <si>
    <t>Solicitao apoio ao Tosin, 3 REQ Aberta de</t>
  </si>
  <si>
    <t>TR540153</t>
  </si>
  <si>
    <t>TT540153</t>
  </si>
  <si>
    <t>IGOR LUCAS RUCHINSKI</t>
  </si>
  <si>
    <t>Plantão até 12h</t>
  </si>
  <si>
    <t>TIM</t>
  </si>
  <si>
    <t>TR819750</t>
  </si>
  <si>
    <t>TT823284</t>
  </si>
  <si>
    <t>IGOR ROBERTO SENA PAES</t>
  </si>
  <si>
    <t>TR817971</t>
  </si>
  <si>
    <t>TT818725</t>
  </si>
  <si>
    <t>KELVER JONATHAN NASCIMENTO DINIZ</t>
  </si>
  <si>
    <t>TR695690</t>
  </si>
  <si>
    <t>TT695690</t>
  </si>
  <si>
    <t>LEONARDO DUARTE GOMES</t>
  </si>
  <si>
    <t>TR560731</t>
  </si>
  <si>
    <t>TT560731</t>
  </si>
  <si>
    <t>PASCOAL COAN</t>
  </si>
  <si>
    <t>TR733308</t>
  </si>
  <si>
    <t>TT733308</t>
  </si>
  <si>
    <t>RICARDO BADIO</t>
  </si>
  <si>
    <t>TT156528</t>
  </si>
  <si>
    <t>ROBSON ROBERTO REIS</t>
  </si>
  <si>
    <t>TR123986</t>
  </si>
  <si>
    <t>TT123986</t>
  </si>
  <si>
    <t>SIDNEI LACERDA DA ROSA</t>
  </si>
  <si>
    <t>TR820187</t>
  </si>
  <si>
    <t>TT824019</t>
  </si>
  <si>
    <t>THIAGO ROCHA FERREIRA</t>
  </si>
  <si>
    <t>TR621718</t>
  </si>
  <si>
    <t>TT817779</t>
  </si>
  <si>
    <t>WELLERSON FRANKLIN DE ALMEIDA SILVA</t>
  </si>
  <si>
    <t>Tecnico vindo do RJ, regularizando Sistemas</t>
  </si>
  <si>
    <t>TR789238</t>
  </si>
  <si>
    <t>TT789238</t>
  </si>
  <si>
    <t>OTO RENATO DO PRADO</t>
  </si>
  <si>
    <t>NIO | CP</t>
  </si>
  <si>
    <t>TR168349</t>
  </si>
  <si>
    <t>TT168349</t>
  </si>
  <si>
    <t>ALEXANDRE JEREMIAS ARL</t>
  </si>
  <si>
    <t>TECNICO DADOS II</t>
  </si>
  <si>
    <t>TR817970</t>
  </si>
  <si>
    <t>TT818577</t>
  </si>
  <si>
    <t>ALEXANDRE MENDES PEREIRA</t>
  </si>
  <si>
    <t>TR818780</t>
  </si>
  <si>
    <t>TT820852</t>
  </si>
  <si>
    <t>WARLEY BARBOSA DOS SANTOS</t>
  </si>
  <si>
    <t>TR585339</t>
  </si>
  <si>
    <t>TT818532</t>
  </si>
  <si>
    <t>ALCIONE LOPES DE LIZ</t>
  </si>
  <si>
    <t>FABIO ROBERTO VERONICA</t>
  </si>
  <si>
    <t>SC.PLA.LGS.11</t>
  </si>
  <si>
    <t>Torceu o Tornozelo no Plantão 14/03</t>
  </si>
  <si>
    <t>CHAPECO</t>
  </si>
  <si>
    <t>TR578678</t>
  </si>
  <si>
    <t>TT810210</t>
  </si>
  <si>
    <t>JULIANO NECKEL</t>
  </si>
  <si>
    <t>SC.OESTE.CCO.11</t>
  </si>
  <si>
    <t>TR536003</t>
  </si>
  <si>
    <t>TT536003</t>
  </si>
  <si>
    <t>NAILOR VAIME BELTRAME</t>
  </si>
  <si>
    <t>TR011326</t>
  </si>
  <si>
    <t>TT011326</t>
  </si>
  <si>
    <t>RENI LUIS BALLEN</t>
  </si>
  <si>
    <t>TC031504</t>
  </si>
  <si>
    <t>TT822851</t>
  </si>
  <si>
    <t>ROGERIO LOURENCO PEREIRA</t>
  </si>
  <si>
    <t>TR817746</t>
  </si>
  <si>
    <t>TT817606</t>
  </si>
  <si>
    <t>CHARLES DE LIMA</t>
  </si>
  <si>
    <t>TR741362</t>
  </si>
  <si>
    <t>TT741362</t>
  </si>
  <si>
    <t>DYEMES THEODORO PADILHA</t>
  </si>
  <si>
    <t>TR711475</t>
  </si>
  <si>
    <t>TT711475</t>
  </si>
  <si>
    <t>ROGER OLIVEIRA DE JESUS</t>
  </si>
  <si>
    <t>TR741363</t>
  </si>
  <si>
    <t>TT741363</t>
  </si>
  <si>
    <t>ELESSANDRO DA SILVA</t>
  </si>
  <si>
    <t>TR729702</t>
  </si>
  <si>
    <t>TT729702</t>
  </si>
  <si>
    <t>ERITON CORREA</t>
  </si>
  <si>
    <t>TR819630</t>
  </si>
  <si>
    <t>TT822848</t>
  </si>
  <si>
    <t>EWERTON AFONSO AMARAL OLIVEIRA</t>
  </si>
  <si>
    <t>TR729705</t>
  </si>
  <si>
    <t>TT729705</t>
  </si>
  <si>
    <t>PAULO SERGIO LIMA</t>
  </si>
  <si>
    <t>TR084204</t>
  </si>
  <si>
    <t>TT084204</t>
  </si>
  <si>
    <t>EDER PIAZZETA</t>
  </si>
  <si>
    <t>TR729655</t>
  </si>
  <si>
    <t>TT729655</t>
  </si>
  <si>
    <t>RODRIGO DE OLIVEIRA MARTINS</t>
  </si>
  <si>
    <t>TÉCNICO DADOS I</t>
  </si>
  <si>
    <t>TR011124</t>
  </si>
  <si>
    <t>TT011124</t>
  </si>
  <si>
    <t>CARLOS TADEU MOTA</t>
  </si>
  <si>
    <t>TR454198</t>
  </si>
  <si>
    <t>TT822909</t>
  </si>
  <si>
    <t>FERNANDO GALLON</t>
  </si>
  <si>
    <t>GREGORI SOUZA</t>
  </si>
  <si>
    <t>TR738176</t>
  </si>
  <si>
    <t>TT813390</t>
  </si>
  <si>
    <t>RICARDO LUIZ JABLONSKI</t>
  </si>
  <si>
    <t>TR618415</t>
  </si>
  <si>
    <t>TT618415</t>
  </si>
  <si>
    <t>SILVIO GARCIA</t>
  </si>
  <si>
    <t>TR804222</t>
  </si>
  <si>
    <t>TT804222</t>
  </si>
  <si>
    <t>ELIELSON DA SILVA ALVES</t>
  </si>
  <si>
    <t>TR533230</t>
  </si>
  <si>
    <t>TT828851</t>
  </si>
  <si>
    <t>LUIZ FILIPI FERREIRA DA SILVA</t>
  </si>
  <si>
    <t>Não compareceu ao Plantão 14/03</t>
  </si>
  <si>
    <t>TT829509</t>
  </si>
  <si>
    <t>RAFAEL LOPES DOS SANTOS</t>
  </si>
  <si>
    <t>TR791113</t>
  </si>
  <si>
    <t>TT791113</t>
  </si>
  <si>
    <t>ALLAN GILBERTO DOS SANTOS SOUZA</t>
  </si>
  <si>
    <t>SC.LESTE.TRD.11</t>
  </si>
  <si>
    <t>TT695480</t>
  </si>
  <si>
    <t>EVANDRO SILVA JUSTO</t>
  </si>
  <si>
    <t>TR797822</t>
  </si>
  <si>
    <t>TT797822</t>
  </si>
  <si>
    <t>ANDERSON LUIS SCHNEIDERS BATISTA</t>
  </si>
  <si>
    <t>TR614972</t>
  </si>
  <si>
    <t>TT614972</t>
  </si>
  <si>
    <t>EDUARDO DIAS FERNANDES</t>
  </si>
  <si>
    <t>TR812670</t>
  </si>
  <si>
    <t>TT813648</t>
  </si>
  <si>
    <t>JESSE MONTEIRO DE SOUZA JUNIOR</t>
  </si>
  <si>
    <t>TR817750</t>
  </si>
  <si>
    <t>TT817616</t>
  </si>
  <si>
    <t>LEANDRO DE SOUZA ASSUNCAO</t>
  </si>
  <si>
    <t>TR821743</t>
  </si>
  <si>
    <t>TT828853</t>
  </si>
  <si>
    <t>RAFAEL LA BELLA PEDROSO</t>
  </si>
  <si>
    <t>TR818961</t>
  </si>
  <si>
    <t>TT821516</t>
  </si>
  <si>
    <t>VAGNER DO NASCIMENTO GIVIGI</t>
  </si>
  <si>
    <t>TR577116</t>
  </si>
  <si>
    <t>TT577116</t>
  </si>
  <si>
    <t>RODRIGO MELLO DA SILVA</t>
  </si>
  <si>
    <t>TR818218</t>
  </si>
  <si>
    <t>TT819046</t>
  </si>
  <si>
    <t>VINICIUS DE SOUZA</t>
  </si>
  <si>
    <t>ROBERTO DE SOUZA JUNIOR</t>
  </si>
  <si>
    <t>SC.VL2.IAI.11</t>
  </si>
  <si>
    <t>TR615873</t>
  </si>
  <si>
    <t>TT615873</t>
  </si>
  <si>
    <t>CARLOS ERICO DOS SANTOS SILVA</t>
  </si>
  <si>
    <t>SC.VL1.BQE.11</t>
  </si>
  <si>
    <t>BRUSQUE</t>
  </si>
  <si>
    <t>TR615592</t>
  </si>
  <si>
    <t>TT615592</t>
  </si>
  <si>
    <t>RODRIGO BUGILA</t>
  </si>
  <si>
    <t>TR711572</t>
  </si>
  <si>
    <t>TT711572</t>
  </si>
  <si>
    <t>JEFFERSON LUIS RENGEL</t>
  </si>
  <si>
    <t>TR537408</t>
  </si>
  <si>
    <t>TT537408</t>
  </si>
  <si>
    <t>RAFAEL DE MENEZES PEREIRA</t>
  </si>
  <si>
    <t>TT829511</t>
  </si>
  <si>
    <t>WESLEY SOUZA DOS SANTOS</t>
  </si>
  <si>
    <t>Novato</t>
  </si>
  <si>
    <t>TR699705</t>
  </si>
  <si>
    <t>TT699705</t>
  </si>
  <si>
    <t>JEAN FRANCISCO FRANCO DE CAMARGO</t>
  </si>
  <si>
    <t>TR819751</t>
  </si>
  <si>
    <t>TT823285</t>
  </si>
  <si>
    <t>WELITON BATISTA MELO</t>
  </si>
  <si>
    <t>TR597558</t>
  </si>
  <si>
    <t>TT597558</t>
  </si>
  <si>
    <t>AMAURI FRANCISCO CARDOZO</t>
  </si>
  <si>
    <t>BALNEARIO CAMBORIU</t>
  </si>
  <si>
    <t>TR003232</t>
  </si>
  <si>
    <t>TT003232</t>
  </si>
  <si>
    <t>DANIEL MARINHO BATISTA</t>
  </si>
  <si>
    <t>TR800397</t>
  </si>
  <si>
    <t> TT800397</t>
  </si>
  <si>
    <t>FELIPE DE SOUZA</t>
  </si>
  <si>
    <t>TR089387</t>
  </si>
  <si>
    <t>TT829723</t>
  </si>
  <si>
    <t>FRANCINEUDO DA SILVA SOUSA</t>
  </si>
  <si>
    <t>TR687181</t>
  </si>
  <si>
    <t>TT687181</t>
  </si>
  <si>
    <t>MAYCON PASSOS DA SILVA ROSA</t>
  </si>
  <si>
    <t>TR314446</t>
  </si>
  <si>
    <t>MAYCKON HENRIQUE CASAS CORDOVA</t>
  </si>
  <si>
    <t>TECNICO DE DADOS I</t>
  </si>
  <si>
    <t>Tecnio de Dados, abrir quando sem demanda Dados</t>
  </si>
  <si>
    <t>TR699710</t>
  </si>
  <si>
    <t>TT699710</t>
  </si>
  <si>
    <t>LUANDERSON CAZUMBA BARBOSA</t>
  </si>
  <si>
    <t>TR514450</t>
  </si>
  <si>
    <t>TT821607</t>
  </si>
  <si>
    <t>FABIO GONCALVES DE ANDRADE</t>
  </si>
  <si>
    <t>TIAGO PEREIRA FRANCA</t>
  </si>
  <si>
    <t>SC.NORTE.JVE.12</t>
  </si>
  <si>
    <t>TR612597</t>
  </si>
  <si>
    <t>TT612597</t>
  </si>
  <si>
    <t>FABIO VELOZO</t>
  </si>
  <si>
    <t>TR790152</t>
  </si>
  <si>
    <t>TT790152</t>
  </si>
  <si>
    <t>FRANCISCO EDUARDO DA ROZA</t>
  </si>
  <si>
    <t>TR610570</t>
  </si>
  <si>
    <t>TT610570</t>
  </si>
  <si>
    <t>LENOIR CEOLIN</t>
  </si>
  <si>
    <t>TR819825</t>
  </si>
  <si>
    <t>TT823367</t>
  </si>
  <si>
    <t>EDIELSON ROBERTO PARRONCHI</t>
  </si>
  <si>
    <t>TR790151</t>
  </si>
  <si>
    <t>TT790151</t>
  </si>
  <si>
    <t>EDINALDO RIBEIRO BENEDITO</t>
  </si>
  <si>
    <t>TR535090</t>
  </si>
  <si>
    <t>TT535090</t>
  </si>
  <si>
    <t>EZIO SILVA CABRAL JUNIOR</t>
  </si>
  <si>
    <t>TR393853</t>
  </si>
  <si>
    <t>TT818693</t>
  </si>
  <si>
    <t>JOCENIR DA COSTA CHAVES</t>
  </si>
  <si>
    <t>TR821741</t>
  </si>
  <si>
    <t>TT828849</t>
  </si>
  <si>
    <t>LUCAS PADILHA DOS SANTOS</t>
  </si>
  <si>
    <t>TR687177</t>
  </si>
  <si>
    <t>TT687177</t>
  </si>
  <si>
    <t>MARCOS PAULO DE BORBA</t>
  </si>
  <si>
    <t>TR408223</t>
  </si>
  <si>
    <t>TT829090</t>
  </si>
  <si>
    <t>MARCOS TAVARES</t>
  </si>
  <si>
    <t>TR819189</t>
  </si>
  <si>
    <t>TT822113</t>
  </si>
  <si>
    <t>RAFAEL RAUL SANTOS</t>
  </si>
  <si>
    <t>TR383337</t>
  </si>
  <si>
    <t>TT829510</t>
  </si>
  <si>
    <t>RODRIGO ROSA DA CONCEICAO</t>
  </si>
  <si>
    <t>TR810589</t>
  </si>
  <si>
    <t>TT822591</t>
  </si>
  <si>
    <t>RONNIE JOSE GRANADO DELGADO</t>
  </si>
  <si>
    <t>TR634889</t>
  </si>
  <si>
    <t>TT634889</t>
  </si>
  <si>
    <t>THAFNYS DOS SANTOS ORTEGA</t>
  </si>
  <si>
    <t>colher material</t>
  </si>
  <si>
    <t>TR798462</t>
  </si>
  <si>
    <t>TT798462</t>
  </si>
  <si>
    <t>THIAGO AZEVEDO MORENO</t>
  </si>
  <si>
    <t>TR798463</t>
  </si>
  <si>
    <t>TT798463</t>
  </si>
  <si>
    <t>TIAGO TAVARES</t>
  </si>
  <si>
    <t>TR751389</t>
  </si>
  <si>
    <t>TT751389</t>
  </si>
  <si>
    <t>VITOR AUGUSTO DIAS CAMARA</t>
  </si>
  <si>
    <t>TR819638</t>
  </si>
  <si>
    <t>TT822852</t>
  </si>
  <si>
    <t>WILDERLEI DOS SANTOS DE CARVALHO</t>
  </si>
  <si>
    <t>TR632093</t>
  </si>
  <si>
    <t>TT632093</t>
  </si>
  <si>
    <t>WILLIAMS JOSE SILVA DOS SANTOS</t>
  </si>
  <si>
    <t>TR819007</t>
  </si>
  <si>
    <t>TT821636</t>
  </si>
  <si>
    <t>ANDRE ROLDAO</t>
  </si>
  <si>
    <t>TR044101</t>
  </si>
  <si>
    <t>TT827898</t>
  </si>
  <si>
    <t>CLAUDINEI DA SILVA HERCULANO</t>
  </si>
  <si>
    <t>problema celular</t>
  </si>
  <si>
    <t>TR695691</t>
  </si>
  <si>
    <t>TT695691</t>
  </si>
  <si>
    <t>MAICON JUNIOR DUARTE</t>
  </si>
  <si>
    <t>TR785766</t>
  </si>
  <si>
    <t>TT785766</t>
  </si>
  <si>
    <t>THALLES ALVES DE OLIVEIRA</t>
  </si>
  <si>
    <t>WILLIAM DIAS VAZ</t>
  </si>
  <si>
    <t>SC.VL1.BNU.12</t>
  </si>
  <si>
    <t>TR608428</t>
  </si>
  <si>
    <t>TT608428</t>
  </si>
  <si>
    <t>ANDRE DE PROENCA</t>
  </si>
  <si>
    <t>SC.VL1.BNU.11</t>
  </si>
  <si>
    <t>TR821745</t>
  </si>
  <si>
    <t>TT829088</t>
  </si>
  <si>
    <t>ADRIANO DOS SANTOS GONCALVES</t>
  </si>
  <si>
    <t>TR182495</t>
  </si>
  <si>
    <t>TT182495</t>
  </si>
  <si>
    <t>ANDERSON FELIPE CALEGARI</t>
  </si>
  <si>
    <t>TR535900</t>
  </si>
  <si>
    <t>TT535900</t>
  </si>
  <si>
    <t>ANDRE LUIS ALVES RANGEL</t>
  </si>
  <si>
    <t>TR747901</t>
  </si>
  <si>
    <t>TT817563</t>
  </si>
  <si>
    <t>CAIO BENJO REIS</t>
  </si>
  <si>
    <t>TR625056</t>
  </si>
  <si>
    <t>TT625056</t>
  </si>
  <si>
    <t>EDERSON PAZ CARRION</t>
  </si>
  <si>
    <t>TR821740</t>
  </si>
  <si>
    <t>TT828848</t>
  </si>
  <si>
    <t>LUCAS DE JESUS MARTINS</t>
  </si>
  <si>
    <t>TR709217</t>
  </si>
  <si>
    <t>TT822850</t>
  </si>
  <si>
    <t>MARCELO GOMES FREITAS</t>
  </si>
  <si>
    <t>TR821742</t>
  </si>
  <si>
    <t>TT828852</t>
  </si>
  <si>
    <t>MARCOS CORDEIRO DELGADO</t>
  </si>
  <si>
    <t>TR645842</t>
  </si>
  <si>
    <t>TT645842</t>
  </si>
  <si>
    <t>MATEUS FERNANDES DE SOUZA</t>
  </si>
  <si>
    <t>TR821815</t>
  </si>
  <si>
    <t>TT829724</t>
  </si>
  <si>
    <t>PAULO ROBERTO DOS SANTOS MORAES</t>
  </si>
  <si>
    <t>TR738178</t>
  </si>
  <si>
    <t>TT738178</t>
  </si>
  <si>
    <t>THIAGO SCHUMANN BAMFI</t>
  </si>
  <si>
    <t>TR699694</t>
  </si>
  <si>
    <t>TT699694</t>
  </si>
  <si>
    <t>DAVID FERNANDES DOS SANTOS</t>
  </si>
  <si>
    <t>TR498678</t>
  </si>
  <si>
    <t>TT498678</t>
  </si>
  <si>
    <t>GIAM PIHETRO JEFTE SOARES DA SILVA</t>
  </si>
  <si>
    <t>Gestech</t>
  </si>
  <si>
    <t>TR736827</t>
  </si>
  <si>
    <t>TT736827</t>
  </si>
  <si>
    <t>JOAO PAULO MERETIKA</t>
  </si>
  <si>
    <t>TR802948</t>
  </si>
  <si>
    <t>TT802948</t>
  </si>
  <si>
    <t>MARCOS ROBERTO CORREA DA SILVA</t>
  </si>
  <si>
    <t>TR682777</t>
  </si>
  <si>
    <t>TT682777</t>
  </si>
  <si>
    <t>RONALD RIBAS DE RIBAS</t>
  </si>
  <si>
    <t>TR800405</t>
  </si>
  <si>
    <t>TT800405</t>
  </si>
  <si>
    <t>THIAGO TONN</t>
  </si>
  <si>
    <t>TR010661</t>
  </si>
  <si>
    <t>TT010661</t>
  </si>
  <si>
    <t>DOMENICO CISZ</t>
  </si>
  <si>
    <t>TR819629</t>
  </si>
  <si>
    <t>TT822847</t>
  </si>
  <si>
    <t>EDUARDO DANIEL KUHNEN</t>
  </si>
  <si>
    <t>TR647818</t>
  </si>
  <si>
    <t>TT647818</t>
  </si>
  <si>
    <t>FELIPE RIZZOTTO</t>
  </si>
  <si>
    <t>TR789009</t>
  </si>
  <si>
    <t>TT789009</t>
  </si>
  <si>
    <t>JHON JARLEI OROBIO GAMBOA</t>
  </si>
  <si>
    <t>INDAIAL</t>
  </si>
  <si>
    <t>TT119205</t>
  </si>
  <si>
    <t>VALDECIR MOTTA</t>
  </si>
  <si>
    <t>GUABIRUBA</t>
  </si>
  <si>
    <t>TR619042</t>
  </si>
  <si>
    <t>TT619042</t>
  </si>
  <si>
    <t>CARLOS ANTONIO POSSAMAI</t>
  </si>
  <si>
    <t>SC.VL1.RSL.11</t>
  </si>
  <si>
    <t>TR821242</t>
  </si>
  <si>
    <t>TT826816</t>
  </si>
  <si>
    <t>EMERSON ACACIO NAZARIO</t>
  </si>
  <si>
    <t>TR818956</t>
  </si>
  <si>
    <t>TT821512</t>
  </si>
  <si>
    <t>CARLOS DINIZ DA SILVA</t>
  </si>
  <si>
    <t>TR652541</t>
  </si>
  <si>
    <t>TT652541</t>
  </si>
  <si>
    <t>ELIAS ABREU DA SILVA</t>
  </si>
  <si>
    <t>TECNICO DADOS I</t>
  </si>
  <si>
    <t>TR579478</t>
  </si>
  <si>
    <t>TT579478</t>
  </si>
  <si>
    <t>ODILON VAGNER DE SOUZA CAMPOS</t>
  </si>
  <si>
    <t>TÉCNICO DADOS II</t>
  </si>
  <si>
    <t>TR679747</t>
  </si>
  <si>
    <t>TT679747</t>
  </si>
  <si>
    <t>FREDERICO STUMPF</t>
  </si>
  <si>
    <t>TR578775</t>
  </si>
  <si>
    <t>TT578775</t>
  </si>
  <si>
    <t>CLOVIS GOIS</t>
  </si>
  <si>
    <t>TR817748</t>
  </si>
  <si>
    <t>TT817614</t>
  </si>
  <si>
    <t>HUGO SANTOS DALTRO</t>
  </si>
  <si>
    <t>TR571422</t>
  </si>
  <si>
    <t>TT823208</t>
  </si>
  <si>
    <t>MARILDO ALEXSANDRO CRESTANI</t>
  </si>
  <si>
    <t>TR709235</t>
  </si>
  <si>
    <t>TT824641</t>
  </si>
  <si>
    <t>ANDERSON RODRIGO DA COSTA</t>
  </si>
  <si>
    <t>TR647820</t>
  </si>
  <si>
    <t>TT647820</t>
  </si>
  <si>
    <t>JOSENIR PEREIRA FILHO</t>
  </si>
  <si>
    <t>TR822173</t>
  </si>
  <si>
    <t>TT830771</t>
  </si>
  <si>
    <t>EULY DE OLIVEIRA ROLON RIBEIRO</t>
  </si>
  <si>
    <t>TR571372</t>
  </si>
  <si>
    <t>TT830770</t>
  </si>
  <si>
    <t>ANDERSON ROBERTO BRUCH</t>
  </si>
  <si>
    <t>TR723157</t>
  </si>
  <si>
    <t>TT723157</t>
  </si>
  <si>
    <t>JOCILANILTON RIBEIRO DOS SANTOS</t>
  </si>
  <si>
    <t>DENER EDUARDO SCHREIBER</t>
  </si>
  <si>
    <t>CARLOS PATRICK BATISTA LIMA</t>
  </si>
  <si>
    <t>ERICK SANTOS PEREIRA</t>
  </si>
  <si>
    <t>INV</t>
  </si>
  <si>
    <t>TR819571</t>
  </si>
  <si>
    <t>TT822798</t>
  </si>
  <si>
    <t>WESLEY AVNER GARCIA DE JESUS</t>
  </si>
  <si>
    <t>ANDERSON CLAITON LISBOA</t>
  </si>
  <si>
    <t>TR713987</t>
  </si>
  <si>
    <t>TT819111</t>
  </si>
  <si>
    <t>CLAUDIOMAR JOSE GASPARIN LEMOS</t>
  </si>
  <si>
    <t>TR655657</t>
  </si>
  <si>
    <t>TT810879</t>
  </si>
  <si>
    <t>THALES BRASIL</t>
  </si>
  <si>
    <t>TR820371</t>
  </si>
  <si>
    <t>TT824373</t>
  </si>
  <si>
    <t>RICARDO PEREIRA</t>
  </si>
  <si>
    <t>TR319505</t>
  </si>
  <si>
    <t>TT823430</t>
  </si>
  <si>
    <t>JANDERSON LUIZ TAVARES</t>
  </si>
  <si>
    <t>TR819034</t>
  </si>
  <si>
    <t>TT821680</t>
  </si>
  <si>
    <t>LUIS GUILHERME FERREIRA MARQUES</t>
  </si>
  <si>
    <t>TR789183</t>
  </si>
  <si>
    <t>TT789183</t>
  </si>
  <si>
    <t>LUIS FELIPE SCHMIDT</t>
  </si>
  <si>
    <t>TR819033</t>
  </si>
  <si>
    <t>TT821679</t>
  </si>
  <si>
    <t>JOAO LUCAS MONTEIRO FARIAS</t>
  </si>
  <si>
    <t>TR819079</t>
  </si>
  <si>
    <t>EDSON FAGUNDES DE OLIVEIRA</t>
  </si>
  <si>
    <t>TR820384 </t>
  </si>
  <si>
    <t>TT824516</t>
  </si>
  <si>
    <t>HEDE WILSON DINIZ</t>
  </si>
  <si>
    <t>WILLIAN DIAS VAZ</t>
  </si>
  <si>
    <t>sem previsão</t>
  </si>
  <si>
    <t>TR820151</t>
  </si>
  <si>
    <t>TT823883</t>
  </si>
  <si>
    <t>DIEISON OLIVEIRA PEREIRA</t>
  </si>
  <si>
    <t>TR818673</t>
  </si>
  <si>
    <t>TT819884</t>
  </si>
  <si>
    <t>EWERTON BRAIAN AMARANTE DE OLIVEIRA</t>
  </si>
  <si>
    <t> </t>
  </si>
  <si>
    <t>TR791260</t>
  </si>
  <si>
    <t>TT791260</t>
  </si>
  <si>
    <t>FELIPE BATISTA LEAL</t>
  </si>
  <si>
    <t>TR547089</t>
  </si>
  <si>
    <t>TT547089</t>
  </si>
  <si>
    <t>HELCIO LIMA DA SILVA</t>
  </si>
  <si>
    <t>AIRTON LUCIANO DOS SANTOS JUNIOR</t>
  </si>
  <si>
    <t>TR817753</t>
  </si>
  <si>
    <t>TT817622</t>
  </si>
  <si>
    <t>LUIS RICARDO SCHROTT DE MELO</t>
  </si>
  <si>
    <t>TR790153</t>
  </si>
  <si>
    <t>TT790153</t>
  </si>
  <si>
    <t>LUIS GUSTAVO SANTOS RODRIGUES</t>
  </si>
  <si>
    <t>TR781357</t>
  </si>
  <si>
    <t>TT781357</t>
  </si>
  <si>
    <t>MARCOS DANIEL MOREIRA</t>
  </si>
  <si>
    <t>TR596599</t>
  </si>
  <si>
    <t>TT818727</t>
  </si>
  <si>
    <t>MILTON ADRIANO SOUZA DE ALMEIDA</t>
  </si>
  <si>
    <t>TR151269</t>
  </si>
  <si>
    <t>TT151269</t>
  </si>
  <si>
    <t>MARCOS ANTONIO MOURA</t>
  </si>
  <si>
    <t>TR578643</t>
  </si>
  <si>
    <t>TT578643</t>
  </si>
  <si>
    <t>CLEITON AVELINO</t>
  </si>
  <si>
    <t>TR819722</t>
  </si>
  <si>
    <t>TT823207</t>
  </si>
  <si>
    <t>BRUNO SILVA GODINHO DE MACEDO</t>
  </si>
  <si>
    <t>TR819010</t>
  </si>
  <si>
    <t>TT821665</t>
  </si>
  <si>
    <t>ALISSON FELIPE ROCHA</t>
  </si>
  <si>
    <t>TR819191</t>
  </si>
  <si>
    <t>TT822130</t>
  </si>
  <si>
    <t>MARCO AURELIO SEFRIN</t>
  </si>
  <si>
    <t>TR818959</t>
  </si>
  <si>
    <t>TT821568</t>
  </si>
  <si>
    <t>ISAEL DUARTE DE SOUZA</t>
  </si>
  <si>
    <t>TR817972</t>
  </si>
  <si>
    <t>TT818578</t>
  </si>
  <si>
    <t>VALDECIR DA SILVA OLIVEIRA</t>
  </si>
  <si>
    <t>TR804400</t>
  </si>
  <si>
    <t>TT804400</t>
  </si>
  <si>
    <t>JOSE LUIS AULAR GARCIA</t>
  </si>
  <si>
    <t>TR425383</t>
  </si>
  <si>
    <t>TT425383</t>
  </si>
  <si>
    <t>TIAGO DOS SANTOS</t>
  </si>
  <si>
    <t>TR527809</t>
  </si>
  <si>
    <t>TT823270</t>
  </si>
  <si>
    <t>FERNANDO VIEIRA DE AZEVEDO</t>
  </si>
  <si>
    <t>TR517944</t>
  </si>
  <si>
    <t>TT824018</t>
  </si>
  <si>
    <t>IGOR LISBOA E SILVA</t>
  </si>
  <si>
    <t>TR603875</t>
  </si>
  <si>
    <t>TT603875</t>
  </si>
  <si>
    <t>TIAGO SANTOS DE SALES</t>
  </si>
  <si>
    <t>TR550752</t>
  </si>
  <si>
    <t>TT823417</t>
  </si>
  <si>
    <t>DAGOBERTO RIBEIRO DA SILVA</t>
  </si>
  <si>
    <t>-</t>
  </si>
  <si>
    <t>TR547240</t>
  </si>
  <si>
    <t>TT821569</t>
  </si>
  <si>
    <t>IVONEI DA SILVA</t>
  </si>
  <si>
    <t>sem previsão veiculo frota</t>
  </si>
  <si>
    <t>TR507457</t>
  </si>
  <si>
    <t>SIDNEI DA SILVA</t>
  </si>
  <si>
    <t>TR820010</t>
  </si>
  <si>
    <t>SILVONEI JOSE GONCALVES TRINDADE</t>
  </si>
  <si>
    <t>TR680326</t>
  </si>
  <si>
    <t>TT680326</t>
  </si>
  <si>
    <t>ADRIANO CARLOS DE OLIVEIRA BARBOSA</t>
  </si>
  <si>
    <t>TR791263</t>
  </si>
  <si>
    <t>TT791263</t>
  </si>
  <si>
    <t>PAOLO ARRUE DE MELO</t>
  </si>
  <si>
    <t>TT813649</t>
  </si>
  <si>
    <t>MARCOS DA SILVA CARRILHO</t>
  </si>
  <si>
    <t>TR555862</t>
  </si>
  <si>
    <t>TT555862</t>
  </si>
  <si>
    <t>EDSON DE SOUSA FONTES</t>
  </si>
  <si>
    <t>TR520967</t>
  </si>
  <si>
    <t>TT827900</t>
  </si>
  <si>
    <t>LEONARDO NUNES MELLEGARI</t>
  </si>
  <si>
    <t>TR817614</t>
  </si>
  <si>
    <t> TT827899</t>
  </si>
  <si>
    <t>HUGO ROBERTO SILVA DO NASCIMENTO</t>
  </si>
  <si>
    <t>TR750221</t>
  </si>
  <si>
    <t>TT750221</t>
  </si>
  <si>
    <t>WANDERLEI FIGUEIREDO NEVES</t>
  </si>
  <si>
    <t> TR628392</t>
  </si>
  <si>
    <t>TT829089</t>
  </si>
  <si>
    <t>MAIKON TEODORO</t>
  </si>
  <si>
    <t>TR819746</t>
  </si>
  <si>
    <t>TT823272</t>
  </si>
  <si>
    <t>TIAGO FELIPE SOUZA SANTOS MAGNO</t>
  </si>
  <si>
    <t>TR809136</t>
  </si>
  <si>
    <t>TT809136</t>
  </si>
  <si>
    <t>MAIKON GONCALVES MARTINS</t>
  </si>
  <si>
    <t>TR780145</t>
  </si>
  <si>
    <t>TT780145</t>
  </si>
  <si>
    <t>VERISMAR ATNAN ALVES DOS SANTOS</t>
  </si>
  <si>
    <t>TR817749</t>
  </si>
  <si>
    <t>TT817615</t>
  </si>
  <si>
    <t>IVAN DE SOUSA OLIVEIRA</t>
  </si>
  <si>
    <t>Operadoras</t>
  </si>
  <si>
    <t>Setores</t>
  </si>
  <si>
    <t>Total Geral</t>
  </si>
  <si>
    <t>CRONOGRAMA</t>
  </si>
  <si>
    <t>CO Digital com Falha</t>
  </si>
  <si>
    <t>RE</t>
  </si>
  <si>
    <t>DATA</t>
  </si>
  <si>
    <t>HORA</t>
  </si>
  <si>
    <t>Contagem de COORDENADOR</t>
  </si>
  <si>
    <t>Rótulos de Coluna</t>
  </si>
  <si>
    <t>Rótulos de Linha</t>
  </si>
  <si>
    <t>09</t>
  </si>
  <si>
    <t>09 Total</t>
  </si>
  <si>
    <t>10</t>
  </si>
  <si>
    <t>10 Total</t>
  </si>
  <si>
    <t>11</t>
  </si>
  <si>
    <t>11 Total</t>
  </si>
  <si>
    <t>14</t>
  </si>
  <si>
    <t>14 Total</t>
  </si>
  <si>
    <t>15</t>
  </si>
  <si>
    <t>15 Total</t>
  </si>
  <si>
    <t>LUCAS PADILHA  DOS SANTOS</t>
  </si>
  <si>
    <t>JOÃO PAULO MERETIKA</t>
  </si>
  <si>
    <t>TT823771</t>
  </si>
  <si>
    <t>TT828534</t>
  </si>
  <si>
    <t>TT820849</t>
  </si>
  <si>
    <t>LEONARDO NUNES MELEGARI</t>
  </si>
  <si>
    <t>3 dias</t>
  </si>
  <si>
    <t>problema chip</t>
  </si>
  <si>
    <t>TR581235</t>
  </si>
  <si>
    <t>TT492527</t>
  </si>
  <si>
    <t>ALEX JUNIOR ALVES</t>
  </si>
  <si>
    <t>TÉCNICO EM FIBRA ÓPTICA I</t>
  </si>
  <si>
    <t>VTAL</t>
  </si>
  <si>
    <t>ANDERSON LISBOA</t>
  </si>
  <si>
    <t>MARCELO EZEQUIEL ETCHEPAREBORDA</t>
  </si>
  <si>
    <t>SANTA CATARINA</t>
  </si>
  <si>
    <t>TR566514</t>
  </si>
  <si>
    <t>TT709213</t>
  </si>
  <si>
    <t>SUPERVISOR FIBRA OPTICA</t>
  </si>
  <si>
    <t>TT591529</t>
  </si>
  <si>
    <t>ANDRE HARTMANN</t>
  </si>
  <si>
    <t>TECNICO DE FIBRA OPTICA</t>
  </si>
  <si>
    <t>TR789777</t>
  </si>
  <si>
    <t>TT829156</t>
  </si>
  <si>
    <t>ANDRÉ HILLE</t>
  </si>
  <si>
    <t>TR709213</t>
  </si>
  <si>
    <t>DIEGO SAMUEL FELIPE DOS SANTOS</t>
  </si>
  <si>
    <t>TT829157</t>
  </si>
  <si>
    <t>EDUARDO LUCAS REMPEL</t>
  </si>
  <si>
    <t>AUXILIAR TÉCNICO FIBRA</t>
  </si>
  <si>
    <t>RODRIGO RECCO</t>
  </si>
  <si>
    <t>TT829158</t>
  </si>
  <si>
    <t>JARDEL GUERREIRO JOAQUIM</t>
  </si>
  <si>
    <t>TECNICO FIBRA OPTICA I</t>
  </si>
  <si>
    <t>TT829159</t>
  </si>
  <si>
    <t>JEAN CARLOS BAIRROS PEREIRA</t>
  </si>
  <si>
    <t>TR010616</t>
  </si>
  <si>
    <t>TT829160</t>
  </si>
  <si>
    <t>JONATHAN RODRIGUES</t>
  </si>
  <si>
    <t>TT695703</t>
  </si>
  <si>
    <t>JORDON MEZZOMO</t>
  </si>
  <si>
    <t>TR151998</t>
  </si>
  <si>
    <t>TT828499</t>
  </si>
  <si>
    <t>JOSE ROBERTO AMORIM DOS ANJOS JUNIOR</t>
  </si>
  <si>
    <t>TT780084</t>
  </si>
  <si>
    <t>KELWYN MELO GOMES</t>
  </si>
  <si>
    <t>TT779980</t>
  </si>
  <si>
    <t>COORDENADOR DE REDE</t>
  </si>
  <si>
    <t>ANDERSON BORTOLAMED</t>
  </si>
  <si>
    <t>TT652573</t>
  </si>
  <si>
    <t>MARCO ANTONIO BARBOSA</t>
  </si>
  <si>
    <t>AUXILIAR TECNICO DE FIBRA OPTICA</t>
  </si>
  <si>
    <t> TT566514</t>
  </si>
  <si>
    <t>PAULO SERGIO DE JESUS ANSELMO</t>
  </si>
  <si>
    <t>TT789777</t>
  </si>
  <si>
    <t>PAULO SILVA SAMPAIO</t>
  </si>
  <si>
    <t>TT585448</t>
  </si>
  <si>
    <t>RAFAEL NILSON DA ROSA</t>
  </si>
  <si>
    <t>TT010616</t>
  </si>
  <si>
    <t>RODRIGO PALHARES RECCO</t>
  </si>
  <si>
    <t>TT492529</t>
  </si>
  <si>
    <t>THIAGO FELIPE KIENAS DA SILVA</t>
  </si>
  <si>
    <t>GILSON BENTO</t>
  </si>
  <si>
    <t>ABRIR PARA FSL APOIO HOME CONECT</t>
  </si>
  <si>
    <t>JUNIOMAR ALEX MOCHNACZ</t>
  </si>
  <si>
    <t>CHAPECÓ</t>
  </si>
  <si>
    <t>TR550239</t>
  </si>
  <si>
    <t>TT550239</t>
  </si>
  <si>
    <t>HIGINO PORTELLA DA SILVA NETO</t>
  </si>
  <si>
    <t>IBIRAMA</t>
  </si>
  <si>
    <t>TT314446</t>
  </si>
  <si>
    <t>JÁ ATIVO</t>
  </si>
  <si>
    <t>TR833242</t>
  </si>
  <si>
    <t>TT833242</t>
  </si>
  <si>
    <t>LUIS CARLOS BOGO</t>
  </si>
  <si>
    <t>JARAGUA DO SUL</t>
  </si>
  <si>
    <t>TR575592</t>
  </si>
  <si>
    <t>TT575592</t>
  </si>
  <si>
    <t>KLEISON HECKLER</t>
  </si>
  <si>
    <t>JOAÇABA</t>
  </si>
  <si>
    <t>TR175265</t>
  </si>
  <si>
    <t>JULIO CEZAR DE OLIVEIRA DORNELES</t>
  </si>
  <si>
    <t>SÃO CARLOS</t>
  </si>
  <si>
    <t>TR064077</t>
  </si>
  <si>
    <t>TT064077</t>
  </si>
  <si>
    <t>JACKSON HOFFMANN</t>
  </si>
  <si>
    <t>SÃO JOSÉ</t>
  </si>
  <si>
    <t>PRONTO PARA TESTES</t>
  </si>
  <si>
    <t>TUBARÃO</t>
  </si>
  <si>
    <t>Eficiencia Atual</t>
  </si>
  <si>
    <t>Eficiencia_Ajuste</t>
  </si>
  <si>
    <t>Obs</t>
  </si>
  <si>
    <t>Coluna2</t>
  </si>
  <si>
    <t>Alterar</t>
  </si>
  <si>
    <t>Setor Critico</t>
  </si>
  <si>
    <t>Manter</t>
  </si>
  <si>
    <t>TR821513</t>
  </si>
  <si>
    <t>TT818957</t>
  </si>
  <si>
    <t>ERIEL RODRIGUES GOMEZ</t>
  </si>
  <si>
    <t>EXCLUSIVO REPARO</t>
  </si>
  <si>
    <t>NOVATO</t>
  </si>
  <si>
    <t>ADAPTAÇÃO / RJ</t>
  </si>
  <si>
    <t>Fundiu Motor</t>
  </si>
  <si>
    <t>TROCA VEICULO</t>
  </si>
  <si>
    <t>Meio Periodo</t>
  </si>
  <si>
    <t>Ate 10hs</t>
  </si>
  <si>
    <t>Dados</t>
  </si>
  <si>
    <t>Dificuldade</t>
  </si>
  <si>
    <t>Passou mal durante a tarde no domingo, pediu para se auzentar</t>
  </si>
  <si>
    <t>RAFAEL RAUL DOS SANTOS</t>
  </si>
  <si>
    <t>Tecnico Novato</t>
  </si>
  <si>
    <t>manter</t>
  </si>
  <si>
    <t>Ao começar a jornada no plantão do Domingo 01/03, passou mal e foi ao pronto socorro, onde pegou 2 dias de atestado.</t>
  </si>
  <si>
    <t>DATA INVENTARIO</t>
  </si>
  <si>
    <t>INVENTARIO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</si>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</sst>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rgb="FF000000"/>
      <name val="Calibri"/>
      <family val="2"/>
    </font>
    <font>
      <b/>
      <sz val="10"/>
      <color theme="1"/>
      <name val="Aptos Narrow"/>
      <family val="2"/>
      <scheme val="minor"/>
    </font>
    <font>
      <sz val="10"/>
      <color rgb="FF000000"/>
      <name val="Aptos Narrow"/>
      <family val="2"/>
    </font>
    <font>
      <b/>
      <sz val="10"/>
      <color rgb="FFFF0000"/>
      <name val="Aptos Narrow"/>
      <family val="2"/>
    </font>
    <font>
      <b/>
      <sz val="10"/>
      <color rgb="FF000000"/>
      <name val="Aptos Narrow"/>
      <family val="2"/>
    </font>
    <font>
      <sz val="10"/>
      <color theme="1"/>
      <name val="Aptos Narrow"/>
      <family val="2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sz val="10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0000"/>
      <name val="Aptos Narrow"/>
      <family val="2"/>
    </font>
    <font>
      <sz val="11"/>
      <color rgb="FF000000"/>
      <name val="Aptos Narrow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sz val="8"/>
      <color rgb="FF000000"/>
      <name val="Aptos Narrow"/>
      <family val="2"/>
    </font>
    <font>
      <b/>
      <sz val="8"/>
      <name val="Aptos Narrow"/>
      <family val="2"/>
      <scheme val="minor"/>
    </font>
    <font>
      <b/>
      <sz val="8"/>
      <color rgb="FF000000"/>
      <name val="Aptos Narrow"/>
      <family val="2"/>
    </font>
    <font>
      <sz val="8"/>
      <color rgb="FF000000"/>
      <name val="Calibri"/>
      <family val="2"/>
    </font>
    <font>
      <sz val="8"/>
      <color rgb="FFFF0000"/>
      <name val="Aptos Narrow"/>
      <family val="2"/>
      <scheme val="minor"/>
    </font>
    <font>
      <sz val="8"/>
      <color rgb="FF000000"/>
      <name val="Calibri"/>
      <family val="2"/>
      <charset val="1"/>
    </font>
    <font>
      <sz val="8"/>
      <color theme="1"/>
      <name val="Aptos Narrow"/>
      <family val="2"/>
    </font>
    <font>
      <sz val="8"/>
      <name val="Aptos Narrow"/>
      <family val="2"/>
    </font>
    <font>
      <b/>
      <sz val="8"/>
      <name val="Aptos Narrow"/>
      <family val="2"/>
    </font>
    <font>
      <sz val="8"/>
      <color rgb="FFFF0000"/>
      <name val="Aptos Narrow"/>
      <family val="2"/>
    </font>
    <font>
      <sz val="8"/>
      <name val="Calibri"/>
      <family val="2"/>
    </font>
    <font>
      <sz val="9"/>
      <color rgb="FF000000"/>
      <name val="Aptos Narrow"/>
      <family val="2"/>
    </font>
    <font>
      <sz val="9"/>
      <name val="Aptos Narrow"/>
      <family val="2"/>
    </font>
    <font>
      <sz val="11"/>
      <color theme="0"/>
      <name val="Aptos Narrow"/>
      <family val="2"/>
      <scheme val="minor"/>
    </font>
    <font>
      <b/>
      <sz val="8"/>
      <color theme="1" tint="4.9989318521683403E-2"/>
      <name val="Aptos Narrow"/>
      <family val="2"/>
      <scheme val="minor"/>
    </font>
    <font>
      <sz val="8"/>
      <color rgb="FF181818"/>
      <name val="-Apple-System"/>
      <charset val="1"/>
    </font>
    <font>
      <sz val="9"/>
      <color rgb="FF000000"/>
      <name val="Calibri"/>
      <family val="2"/>
    </font>
    <font>
      <sz val="8"/>
      <color theme="1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rgb="FF000000"/>
      <name val="Calibri"/>
      <family val="2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9F9F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4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indexed="64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indexed="64"/>
      </bottom>
      <diagonal/>
    </border>
    <border>
      <left style="thin">
        <color theme="9"/>
      </left>
      <right style="thin">
        <color indexed="64"/>
      </right>
      <top style="thin">
        <color theme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9"/>
      </top>
      <bottom style="thin">
        <color theme="9"/>
      </bottom>
      <diagonal/>
    </border>
    <border>
      <left style="thin">
        <color indexed="64"/>
      </left>
      <right/>
      <top style="thin">
        <color theme="9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348">
    <xf numFmtId="0" fontId="0" fillId="0" borderId="0" xfId="0"/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/>
    </xf>
    <xf numFmtId="16" fontId="10" fillId="8" borderId="1" xfId="0" applyNumberFormat="1" applyFont="1" applyFill="1" applyBorder="1" applyAlignment="1">
      <alignment horizontal="center"/>
    </xf>
    <xf numFmtId="16" fontId="9" fillId="0" borderId="1" xfId="0" applyNumberFormat="1" applyFont="1" applyBorder="1" applyAlignment="1">
      <alignment horizontal="center"/>
    </xf>
    <xf numFmtId="16" fontId="10" fillId="8" borderId="3" xfId="0" applyNumberFormat="1" applyFont="1" applyFill="1" applyBorder="1" applyAlignment="1">
      <alignment horizontal="center"/>
    </xf>
    <xf numFmtId="16" fontId="12" fillId="5" borderId="11" xfId="0" applyNumberFormat="1" applyFont="1" applyFill="1" applyBorder="1" applyAlignment="1">
      <alignment horizontal="center" vertical="center"/>
    </xf>
    <xf numFmtId="16" fontId="9" fillId="5" borderId="10" xfId="0" applyNumberFormat="1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9" fillId="8" borderId="3" xfId="0" applyFont="1" applyFill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10" borderId="4" xfId="0" applyFont="1" applyFill="1" applyBorder="1" applyAlignment="1">
      <alignment horizontal="center"/>
    </xf>
    <xf numFmtId="0" fontId="14" fillId="0" borderId="1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15" fillId="9" borderId="2" xfId="0" applyFont="1" applyFill="1" applyBorder="1" applyAlignment="1">
      <alignment horizontal="center"/>
    </xf>
    <xf numFmtId="0" fontId="16" fillId="9" borderId="2" xfId="0" applyFont="1" applyFill="1" applyBorder="1" applyAlignment="1">
      <alignment horizontal="center"/>
    </xf>
    <xf numFmtId="0" fontId="17" fillId="11" borderId="2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14" fillId="11" borderId="4" xfId="0" applyFont="1" applyFill="1" applyBorder="1" applyAlignment="1">
      <alignment horizontal="center"/>
    </xf>
    <xf numFmtId="0" fontId="11" fillId="11" borderId="2" xfId="0" applyFont="1" applyFill="1" applyBorder="1" applyAlignment="1">
      <alignment horizontal="center"/>
    </xf>
    <xf numFmtId="0" fontId="8" fillId="11" borderId="10" xfId="0" applyFont="1" applyFill="1" applyBorder="1" applyAlignment="1">
      <alignment horizontal="center" vertical="center"/>
    </xf>
    <xf numFmtId="0" fontId="8" fillId="11" borderId="12" xfId="0" applyFont="1" applyFill="1" applyBorder="1" applyAlignment="1">
      <alignment horizontal="center" vertical="center"/>
    </xf>
    <xf numFmtId="0" fontId="8" fillId="11" borderId="12" xfId="0" applyFont="1" applyFill="1" applyBorder="1" applyAlignment="1">
      <alignment horizontal="center"/>
    </xf>
    <xf numFmtId="0" fontId="8" fillId="11" borderId="10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 vertical="center"/>
    </xf>
    <xf numFmtId="16" fontId="10" fillId="2" borderId="10" xfId="0" applyNumberFormat="1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16" fontId="10" fillId="2" borderId="11" xfId="0" applyNumberFormat="1" applyFont="1" applyFill="1" applyBorder="1" applyAlignment="1">
      <alignment horizontal="center" vertical="center"/>
    </xf>
    <xf numFmtId="16" fontId="10" fillId="2" borderId="0" xfId="0" applyNumberFormat="1" applyFont="1" applyFill="1" applyAlignment="1">
      <alignment horizontal="center" vertical="center"/>
    </xf>
    <xf numFmtId="16" fontId="9" fillId="5" borderId="13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16" fontId="18" fillId="2" borderId="13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1" fillId="12" borderId="15" xfId="0" applyFont="1" applyFill="1" applyBorder="1" applyAlignment="1">
      <alignment horizontal="center"/>
    </xf>
    <xf numFmtId="0" fontId="9" fillId="10" borderId="13" xfId="0" applyFont="1" applyFill="1" applyBorder="1" applyAlignment="1">
      <alignment horizontal="center"/>
    </xf>
    <xf numFmtId="0" fontId="11" fillId="12" borderId="2" xfId="0" applyFont="1" applyFill="1" applyBorder="1" applyAlignment="1">
      <alignment horizontal="center"/>
    </xf>
    <xf numFmtId="16" fontId="9" fillId="10" borderId="5" xfId="0" applyNumberFormat="1" applyFont="1" applyFill="1" applyBorder="1" applyAlignment="1">
      <alignment horizontal="center"/>
    </xf>
    <xf numFmtId="16" fontId="9" fillId="10" borderId="9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18" fillId="2" borderId="13" xfId="0" applyFont="1" applyFill="1" applyBorder="1" applyAlignment="1">
      <alignment horizontal="center"/>
    </xf>
    <xf numFmtId="16" fontId="18" fillId="2" borderId="10" xfId="0" applyNumberFormat="1" applyFont="1" applyFill="1" applyBorder="1" applyAlignment="1">
      <alignment horizontal="center"/>
    </xf>
    <xf numFmtId="0" fontId="9" fillId="10" borderId="10" xfId="0" applyFont="1" applyFill="1" applyBorder="1" applyAlignment="1">
      <alignment horizontal="center"/>
    </xf>
    <xf numFmtId="0" fontId="9" fillId="10" borderId="16" xfId="0" applyFont="1" applyFill="1" applyBorder="1" applyAlignment="1">
      <alignment horizontal="center"/>
    </xf>
    <xf numFmtId="16" fontId="9" fillId="10" borderId="12" xfId="0" applyNumberFormat="1" applyFont="1" applyFill="1" applyBorder="1" applyAlignment="1">
      <alignment horizontal="center"/>
    </xf>
    <xf numFmtId="0" fontId="11" fillId="12" borderId="17" xfId="0" applyFont="1" applyFill="1" applyBorder="1" applyAlignment="1">
      <alignment horizontal="center"/>
    </xf>
    <xf numFmtId="16" fontId="0" fillId="0" borderId="10" xfId="0" applyNumberFormat="1" applyBorder="1" applyAlignment="1">
      <alignment horizontal="center"/>
    </xf>
    <xf numFmtId="0" fontId="20" fillId="2" borderId="10" xfId="0" applyFont="1" applyFill="1" applyBorder="1" applyAlignment="1">
      <alignment horizontal="center"/>
    </xf>
    <xf numFmtId="16" fontId="20" fillId="2" borderId="10" xfId="0" applyNumberFormat="1" applyFont="1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19" fillId="12" borderId="14" xfId="0" applyFont="1" applyFill="1" applyBorder="1" applyAlignment="1">
      <alignment horizontal="center"/>
    </xf>
    <xf numFmtId="14" fontId="0" fillId="0" borderId="0" xfId="0" applyNumberFormat="1"/>
    <xf numFmtId="0" fontId="3" fillId="6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4" fillId="13" borderId="0" xfId="0" applyNumberFormat="1" applyFont="1" applyFill="1" applyAlignment="1">
      <alignment horizontal="center" vertical="center"/>
    </xf>
    <xf numFmtId="164" fontId="7" fillId="13" borderId="0" xfId="0" applyNumberFormat="1" applyFont="1" applyFill="1" applyAlignment="1">
      <alignment horizontal="center" vertical="center"/>
    </xf>
    <xf numFmtId="164" fontId="0" fillId="0" borderId="0" xfId="0" applyNumberFormat="1"/>
    <xf numFmtId="0" fontId="19" fillId="0" borderId="10" xfId="0" applyFont="1" applyBorder="1" applyAlignment="1">
      <alignment horizontal="center" indent="1"/>
    </xf>
    <xf numFmtId="0" fontId="19" fillId="0" borderId="14" xfId="0" applyFont="1" applyBorder="1" applyAlignment="1">
      <alignment horizontal="center" indent="1"/>
    </xf>
    <xf numFmtId="0" fontId="19" fillId="12" borderId="14" xfId="0" applyFont="1" applyFill="1" applyBorder="1" applyAlignment="1">
      <alignment horizontal="center" indent="1"/>
    </xf>
    <xf numFmtId="0" fontId="2" fillId="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164" fontId="2" fillId="15" borderId="0" xfId="0" applyNumberFormat="1" applyFont="1" applyFill="1" applyAlignment="1">
      <alignment horizontal="center" vertical="center"/>
    </xf>
    <xf numFmtId="14" fontId="2" fillId="15" borderId="0" xfId="0" applyNumberFormat="1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0" fillId="11" borderId="12" xfId="0" applyFill="1" applyBorder="1" applyAlignment="1">
      <alignment horizontal="center"/>
    </xf>
    <xf numFmtId="16" fontId="20" fillId="2" borderId="13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21" fillId="5" borderId="10" xfId="0" applyFont="1" applyFill="1" applyBorder="1" applyAlignment="1">
      <alignment horizontal="center"/>
    </xf>
    <xf numFmtId="16" fontId="21" fillId="5" borderId="13" xfId="0" applyNumberFormat="1" applyFont="1" applyFill="1" applyBorder="1" applyAlignment="1">
      <alignment horizontal="center"/>
    </xf>
    <xf numFmtId="0" fontId="22" fillId="2" borderId="0" xfId="0" applyFont="1" applyFill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164" fontId="2" fillId="15" borderId="10" xfId="0" applyNumberFormat="1" applyFont="1" applyFill="1" applyBorder="1" applyAlignment="1">
      <alignment horizontal="center" vertical="center"/>
    </xf>
    <xf numFmtId="14" fontId="2" fillId="15" borderId="10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164" fontId="4" fillId="13" borderId="10" xfId="0" applyNumberFormat="1" applyFont="1" applyFill="1" applyBorder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3" fillId="6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7" fillId="2" borderId="10" xfId="0" applyFont="1" applyFill="1" applyBorder="1" applyAlignment="1">
      <alignment horizontal="center" vertical="center"/>
    </xf>
    <xf numFmtId="164" fontId="7" fillId="13" borderId="10" xfId="0" applyNumberFormat="1" applyFont="1" applyFill="1" applyBorder="1" applyAlignment="1">
      <alignment horizontal="center" vertical="center"/>
    </xf>
    <xf numFmtId="0" fontId="28" fillId="6" borderId="0" xfId="0" applyFont="1" applyFill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164" fontId="4" fillId="13" borderId="21" xfId="0" applyNumberFormat="1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0" fillId="16" borderId="22" xfId="0" applyFill="1" applyBorder="1"/>
    <xf numFmtId="0" fontId="0" fillId="0" borderId="22" xfId="0" applyBorder="1"/>
    <xf numFmtId="0" fontId="4" fillId="5" borderId="23" xfId="0" applyFont="1" applyFill="1" applyBorder="1" applyAlignment="1">
      <alignment horizontal="center" vertical="center"/>
    </xf>
    <xf numFmtId="0" fontId="0" fillId="16" borderId="24" xfId="0" applyFill="1" applyBorder="1"/>
    <xf numFmtId="0" fontId="22" fillId="17" borderId="0" xfId="0" applyFont="1" applyFill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24" fillId="17" borderId="0" xfId="0" applyFont="1" applyFill="1" applyAlignment="1">
      <alignment horizontal="center" vertical="center"/>
    </xf>
    <xf numFmtId="0" fontId="6" fillId="18" borderId="0" xfId="0" applyFont="1" applyFill="1" applyAlignment="1">
      <alignment horizontal="center" vertical="center"/>
    </xf>
    <xf numFmtId="164" fontId="7" fillId="13" borderId="21" xfId="0" applyNumberFormat="1" applyFont="1" applyFill="1" applyBorder="1" applyAlignment="1">
      <alignment horizontal="center" vertical="center"/>
    </xf>
    <xf numFmtId="0" fontId="27" fillId="6" borderId="10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6" fillId="17" borderId="10" xfId="0" applyFont="1" applyFill="1" applyBorder="1" applyAlignment="1">
      <alignment horizontal="center" vertical="center"/>
    </xf>
    <xf numFmtId="164" fontId="7" fillId="13" borderId="26" xfId="0" applyNumberFormat="1" applyFont="1" applyFill="1" applyBorder="1" applyAlignment="1">
      <alignment horizontal="center" vertical="center"/>
    </xf>
    <xf numFmtId="164" fontId="4" fillId="13" borderId="26" xfId="0" applyNumberFormat="1" applyFont="1" applyFill="1" applyBorder="1" applyAlignment="1">
      <alignment horizontal="center" vertical="center"/>
    </xf>
    <xf numFmtId="16" fontId="21" fillId="5" borderId="16" xfId="0" applyNumberFormat="1" applyFont="1" applyFill="1" applyBorder="1" applyAlignment="1">
      <alignment horizontal="center"/>
    </xf>
    <xf numFmtId="0" fontId="20" fillId="2" borderId="13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 vertical="center"/>
    </xf>
    <xf numFmtId="0" fontId="32" fillId="6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23" fillId="6" borderId="0" xfId="0" applyFont="1" applyFill="1" applyAlignment="1">
      <alignment horizontal="left" vertical="center"/>
    </xf>
    <xf numFmtId="0" fontId="29" fillId="6" borderId="0" xfId="0" applyFont="1" applyFill="1" applyAlignment="1">
      <alignment horizontal="left" vertical="center"/>
    </xf>
    <xf numFmtId="0" fontId="5" fillId="6" borderId="18" xfId="0" applyFont="1" applyFill="1" applyBorder="1" applyAlignment="1">
      <alignment horizontal="left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left" vertical="center"/>
    </xf>
    <xf numFmtId="0" fontId="5" fillId="6" borderId="30" xfId="0" applyFont="1" applyFill="1" applyBorder="1" applyAlignment="1">
      <alignment horizontal="left" vertical="center"/>
    </xf>
    <xf numFmtId="0" fontId="5" fillId="6" borderId="28" xfId="0" applyFont="1" applyFill="1" applyBorder="1" applyAlignment="1">
      <alignment horizontal="left" vertical="center"/>
    </xf>
    <xf numFmtId="0" fontId="5" fillId="6" borderId="25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center"/>
    </xf>
    <xf numFmtId="0" fontId="0" fillId="0" borderId="0" xfId="0" applyAlignment="1">
      <alignment horizontal="left" indent="1"/>
    </xf>
    <xf numFmtId="0" fontId="4" fillId="3" borderId="32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22" fillId="17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164" fontId="7" fillId="13" borderId="31" xfId="0" applyNumberFormat="1" applyFont="1" applyFill="1" applyBorder="1" applyAlignment="1">
      <alignment horizontal="center" vertical="center"/>
    </xf>
    <xf numFmtId="164" fontId="4" fillId="13" borderId="31" xfId="0" applyNumberFormat="1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25" fillId="2" borderId="10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15" borderId="27" xfId="0" applyFont="1" applyFill="1" applyBorder="1" applyAlignment="1">
      <alignment horizontal="center" vertical="center"/>
    </xf>
    <xf numFmtId="0" fontId="2" fillId="18" borderId="27" xfId="0" applyFont="1" applyFill="1" applyBorder="1" applyAlignment="1">
      <alignment horizontal="center" vertical="center"/>
    </xf>
    <xf numFmtId="164" fontId="2" fillId="15" borderId="27" xfId="0" applyNumberFormat="1" applyFont="1" applyFill="1" applyBorder="1" applyAlignment="1">
      <alignment horizontal="center" vertical="center"/>
    </xf>
    <xf numFmtId="14" fontId="2" fillId="15" borderId="27" xfId="0" applyNumberFormat="1" applyFont="1" applyFill="1" applyBorder="1" applyAlignment="1">
      <alignment horizontal="center" vertical="center"/>
    </xf>
    <xf numFmtId="0" fontId="3" fillId="14" borderId="27" xfId="0" applyFont="1" applyFill="1" applyBorder="1" applyAlignment="1">
      <alignment horizontal="left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center" vertical="center"/>
    </xf>
    <xf numFmtId="0" fontId="6" fillId="17" borderId="31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left" vertical="center"/>
    </xf>
    <xf numFmtId="0" fontId="5" fillId="6" borderId="25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23" fillId="6" borderId="10" xfId="0" applyFont="1" applyFill="1" applyBorder="1" applyAlignment="1">
      <alignment horizontal="center"/>
    </xf>
    <xf numFmtId="0" fontId="35" fillId="6" borderId="0" xfId="0" applyFont="1" applyFill="1" applyAlignment="1">
      <alignment horizontal="center"/>
    </xf>
    <xf numFmtId="0" fontId="30" fillId="6" borderId="0" xfId="0" applyFont="1" applyFill="1" applyAlignment="1">
      <alignment horizontal="center"/>
    </xf>
    <xf numFmtId="0" fontId="4" fillId="3" borderId="25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indent="2"/>
    </xf>
    <xf numFmtId="0" fontId="36" fillId="19" borderId="0" xfId="0" applyFont="1" applyFill="1" applyAlignment="1">
      <alignment horizontal="centerContinuous" vertical="center"/>
    </xf>
    <xf numFmtId="0" fontId="2" fillId="19" borderId="0" xfId="0" applyFont="1" applyFill="1" applyAlignment="1">
      <alignment horizontal="center" vertical="center"/>
    </xf>
    <xf numFmtId="0" fontId="2" fillId="19" borderId="35" xfId="0" applyFont="1" applyFill="1" applyBorder="1" applyAlignment="1">
      <alignment horizontal="center" vertical="center"/>
    </xf>
    <xf numFmtId="21" fontId="0" fillId="0" borderId="0" xfId="0" applyNumberFormat="1"/>
    <xf numFmtId="0" fontId="4" fillId="20" borderId="0" xfId="0" applyFont="1" applyFill="1" applyAlignment="1">
      <alignment horizontal="center" vertical="center"/>
    </xf>
    <xf numFmtId="0" fontId="28" fillId="20" borderId="0" xfId="0" applyFont="1" applyFill="1" applyAlignment="1">
      <alignment horizontal="center"/>
    </xf>
    <xf numFmtId="0" fontId="23" fillId="20" borderId="0" xfId="0" applyFont="1" applyFill="1" applyAlignment="1">
      <alignment horizontal="left" vertical="center"/>
    </xf>
    <xf numFmtId="0" fontId="23" fillId="20" borderId="0" xfId="0" applyFont="1" applyFill="1" applyAlignment="1">
      <alignment horizontal="center"/>
    </xf>
    <xf numFmtId="14" fontId="4" fillId="20" borderId="0" xfId="0" applyNumberFormat="1" applyFont="1" applyFill="1" applyAlignment="1">
      <alignment horizontal="center" vertical="center"/>
    </xf>
    <xf numFmtId="20" fontId="23" fillId="21" borderId="0" xfId="0" applyNumberFormat="1" applyFont="1" applyFill="1" applyAlignment="1">
      <alignment horizontal="center" vertical="center"/>
    </xf>
    <xf numFmtId="0" fontId="5" fillId="20" borderId="0" xfId="0" applyFont="1" applyFill="1" applyAlignment="1">
      <alignment horizontal="left" vertical="center"/>
    </xf>
    <xf numFmtId="0" fontId="26" fillId="20" borderId="0" xfId="0" applyFont="1" applyFill="1" applyAlignment="1">
      <alignment horizontal="center"/>
    </xf>
    <xf numFmtId="0" fontId="4" fillId="13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left" vertical="center"/>
    </xf>
    <xf numFmtId="14" fontId="4" fillId="13" borderId="0" xfId="0" applyNumberFormat="1" applyFont="1" applyFill="1" applyAlignment="1">
      <alignment horizontal="center" vertical="center"/>
    </xf>
    <xf numFmtId="20" fontId="23" fillId="22" borderId="0" xfId="0" applyNumberFormat="1" applyFont="1" applyFill="1" applyAlignment="1">
      <alignment horizontal="center" vertical="center"/>
    </xf>
    <xf numFmtId="0" fontId="23" fillId="13" borderId="0" xfId="0" applyFont="1" applyFill="1" applyAlignment="1">
      <alignment horizontal="left" vertical="center"/>
    </xf>
    <xf numFmtId="0" fontId="23" fillId="13" borderId="0" xfId="0" applyFont="1" applyFill="1" applyAlignment="1">
      <alignment horizontal="center"/>
    </xf>
    <xf numFmtId="0" fontId="5" fillId="13" borderId="0" xfId="0" applyFont="1" applyFill="1" applyAlignment="1">
      <alignment horizontal="center" vertical="center"/>
    </xf>
    <xf numFmtId="0" fontId="26" fillId="13" borderId="0" xfId="0" applyFont="1" applyFill="1" applyAlignment="1">
      <alignment horizontal="center"/>
    </xf>
    <xf numFmtId="0" fontId="4" fillId="6" borderId="0" xfId="0" applyFont="1" applyFill="1" applyAlignment="1">
      <alignment horizontal="center" vertical="center"/>
    </xf>
    <xf numFmtId="14" fontId="4" fillId="6" borderId="0" xfId="0" applyNumberFormat="1" applyFont="1" applyFill="1" applyAlignment="1">
      <alignment horizontal="center" vertical="center"/>
    </xf>
    <xf numFmtId="20" fontId="23" fillId="23" borderId="0" xfId="0" applyNumberFormat="1" applyFont="1" applyFill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5" fillId="24" borderId="0" xfId="0" applyFont="1" applyFill="1" applyAlignment="1">
      <alignment horizontal="left" vertical="center"/>
    </xf>
    <xf numFmtId="14" fontId="4" fillId="24" borderId="0" xfId="0" applyNumberFormat="1" applyFont="1" applyFill="1" applyAlignment="1">
      <alignment horizontal="center" vertical="center"/>
    </xf>
    <xf numFmtId="20" fontId="23" fillId="25" borderId="0" xfId="0" applyNumberFormat="1" applyFont="1" applyFill="1" applyAlignment="1">
      <alignment horizontal="center" vertical="center"/>
    </xf>
    <xf numFmtId="0" fontId="30" fillId="24" borderId="0" xfId="0" applyFont="1" applyFill="1" applyAlignment="1">
      <alignment horizontal="left"/>
    </xf>
    <xf numFmtId="0" fontId="37" fillId="2" borderId="0" xfId="0" applyFont="1" applyFill="1" applyAlignment="1">
      <alignment horizontal="center" vertical="center"/>
    </xf>
    <xf numFmtId="0" fontId="6" fillId="26" borderId="0" xfId="0" applyFont="1" applyFill="1" applyAlignment="1">
      <alignment horizontal="center" vertical="center"/>
    </xf>
    <xf numFmtId="0" fontId="26" fillId="6" borderId="3" xfId="0" applyFont="1" applyFill="1" applyBorder="1" applyAlignment="1">
      <alignment horizontal="center"/>
    </xf>
    <xf numFmtId="0" fontId="23" fillId="6" borderId="5" xfId="0" applyFont="1" applyFill="1" applyBorder="1" applyAlignment="1">
      <alignment horizontal="center" vertical="center"/>
    </xf>
    <xf numFmtId="0" fontId="23" fillId="6" borderId="25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0" fontId="34" fillId="6" borderId="10" xfId="0" applyFont="1" applyFill="1" applyBorder="1" applyAlignment="1">
      <alignment horizontal="center"/>
    </xf>
    <xf numFmtId="0" fontId="6" fillId="27" borderId="0" xfId="0" applyFont="1" applyFill="1" applyAlignment="1">
      <alignment horizontal="center" vertical="center"/>
    </xf>
    <xf numFmtId="0" fontId="37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26" fillId="24" borderId="0" xfId="0" applyFont="1" applyFill="1" applyAlignment="1">
      <alignment horizontal="center"/>
    </xf>
    <xf numFmtId="0" fontId="23" fillId="24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8" borderId="0" xfId="0" applyFont="1" applyFill="1" applyAlignment="1">
      <alignment horizontal="left" vertical="center"/>
    </xf>
    <xf numFmtId="0" fontId="38" fillId="6" borderId="0" xfId="0" applyFont="1" applyFill="1" applyAlignment="1">
      <alignment horizontal="center"/>
    </xf>
    <xf numFmtId="0" fontId="28" fillId="6" borderId="0" xfId="0" applyFont="1" applyFill="1" applyAlignment="1">
      <alignment horizontal="center" vertical="center"/>
    </xf>
    <xf numFmtId="0" fontId="39" fillId="6" borderId="0" xfId="0" applyFont="1" applyFill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26" fillId="6" borderId="4" xfId="0" applyFont="1" applyFill="1" applyBorder="1" applyAlignment="1">
      <alignment horizontal="center"/>
    </xf>
    <xf numFmtId="0" fontId="4" fillId="3" borderId="36" xfId="0" applyFont="1" applyFill="1" applyBorder="1" applyAlignment="1">
      <alignment horizontal="center" vertical="center"/>
    </xf>
    <xf numFmtId="0" fontId="6" fillId="17" borderId="37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164" fontId="7" fillId="13" borderId="37" xfId="0" applyNumberFormat="1" applyFont="1" applyFill="1" applyBorder="1" applyAlignment="1">
      <alignment horizontal="center" vertical="center"/>
    </xf>
    <xf numFmtId="164" fontId="4" fillId="13" borderId="37" xfId="0" applyNumberFormat="1" applyFont="1" applyFill="1" applyBorder="1" applyAlignment="1">
      <alignment horizontal="center" vertical="center"/>
    </xf>
    <xf numFmtId="0" fontId="4" fillId="5" borderId="37" xfId="0" applyFont="1" applyFill="1" applyBorder="1" applyAlignment="1">
      <alignment horizontal="left" vertical="center"/>
    </xf>
    <xf numFmtId="0" fontId="4" fillId="5" borderId="37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/>
    </xf>
    <xf numFmtId="0" fontId="23" fillId="6" borderId="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/>
    </xf>
    <xf numFmtId="0" fontId="23" fillId="6" borderId="4" xfId="0" applyFont="1" applyFill="1" applyBorder="1" applyAlignment="1">
      <alignment horizontal="center"/>
    </xf>
    <xf numFmtId="0" fontId="23" fillId="6" borderId="18" xfId="0" applyFont="1" applyFill="1" applyBorder="1" applyAlignment="1">
      <alignment horizontal="center" vertical="center"/>
    </xf>
    <xf numFmtId="0" fontId="25" fillId="2" borderId="25" xfId="0" applyFont="1" applyFill="1" applyBorder="1" applyAlignment="1">
      <alignment horizontal="center"/>
    </xf>
    <xf numFmtId="0" fontId="26" fillId="6" borderId="9" xfId="0" applyFont="1" applyFill="1" applyBorder="1" applyAlignment="1">
      <alignment horizontal="center"/>
    </xf>
    <xf numFmtId="0" fontId="23" fillId="6" borderId="34" xfId="0" applyFont="1" applyFill="1" applyBorder="1" applyAlignment="1">
      <alignment horizontal="center" vertical="center"/>
    </xf>
    <xf numFmtId="0" fontId="23" fillId="6" borderId="4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/>
    </xf>
    <xf numFmtId="0" fontId="21" fillId="5" borderId="12" xfId="0" applyFont="1" applyFill="1" applyBorder="1" applyAlignment="1">
      <alignment horizontal="center"/>
    </xf>
    <xf numFmtId="16" fontId="0" fillId="0" borderId="12" xfId="0" applyNumberFormat="1" applyBorder="1" applyAlignment="1">
      <alignment horizontal="center"/>
    </xf>
    <xf numFmtId="16" fontId="0" fillId="0" borderId="13" xfId="0" applyNumberFormat="1" applyBorder="1" applyAlignment="1">
      <alignment horizontal="center"/>
    </xf>
    <xf numFmtId="0" fontId="5" fillId="6" borderId="10" xfId="0" applyFont="1" applyFill="1" applyBorder="1" applyAlignment="1">
      <alignment horizontal="center" vertical="center"/>
    </xf>
    <xf numFmtId="14" fontId="6" fillId="20" borderId="0" xfId="0" applyNumberFormat="1" applyFont="1" applyFill="1" applyAlignment="1">
      <alignment horizontal="center" vertical="center"/>
    </xf>
    <xf numFmtId="14" fontId="25" fillId="20" borderId="0" xfId="0" applyNumberFormat="1" applyFont="1" applyFill="1" applyAlignment="1">
      <alignment horizontal="center"/>
    </xf>
    <xf numFmtId="14" fontId="31" fillId="20" borderId="0" xfId="0" applyNumberFormat="1" applyFont="1" applyFill="1" applyAlignment="1">
      <alignment horizontal="center"/>
    </xf>
    <xf numFmtId="14" fontId="2" fillId="29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26" fillId="0" borderId="4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/>
    </xf>
    <xf numFmtId="0" fontId="23" fillId="0" borderId="18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/>
    </xf>
    <xf numFmtId="0" fontId="23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3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23" fillId="6" borderId="10" xfId="0" applyFont="1" applyFill="1" applyBorder="1" applyAlignment="1">
      <alignment horizontal="center" vertical="center"/>
    </xf>
    <xf numFmtId="0" fontId="32" fillId="6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0" fillId="2" borderId="10" xfId="0" applyFont="1" applyFill="1" applyBorder="1" applyAlignment="1">
      <alignment horizontal="center" vertical="center"/>
    </xf>
    <xf numFmtId="0" fontId="30" fillId="6" borderId="10" xfId="0" applyFont="1" applyFill="1" applyBorder="1" applyAlignment="1">
      <alignment horizontal="center"/>
    </xf>
    <xf numFmtId="0" fontId="31" fillId="2" borderId="10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43" xfId="0" applyFont="1" applyFill="1" applyBorder="1" applyAlignment="1">
      <alignment horizontal="center" vertical="center"/>
    </xf>
    <xf numFmtId="0" fontId="6" fillId="17" borderId="41" xfId="0" applyFont="1" applyFill="1" applyBorder="1" applyAlignment="1">
      <alignment horizontal="center" vertical="center"/>
    </xf>
    <xf numFmtId="0" fontId="6" fillId="17" borderId="44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15" borderId="13" xfId="0" applyFont="1" applyFill="1" applyBorder="1" applyAlignment="1">
      <alignment horizontal="center" vertical="center"/>
    </xf>
    <xf numFmtId="0" fontId="0" fillId="0" borderId="10" xfId="0" applyBorder="1"/>
    <xf numFmtId="0" fontId="4" fillId="3" borderId="13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17" borderId="45" xfId="0" applyFont="1" applyFill="1" applyBorder="1" applyAlignment="1">
      <alignment horizontal="center" vertical="center"/>
    </xf>
    <xf numFmtId="0" fontId="40" fillId="6" borderId="4" xfId="0" applyFont="1" applyFill="1" applyBorder="1" applyAlignment="1">
      <alignment horizontal="center"/>
    </xf>
    <xf numFmtId="0" fontId="43" fillId="6" borderId="10" xfId="0" applyFont="1" applyFill="1" applyBorder="1" applyAlignment="1">
      <alignment horizontal="center"/>
    </xf>
    <xf numFmtId="0" fontId="23" fillId="6" borderId="28" xfId="0" applyFont="1" applyFill="1" applyBorder="1" applyAlignment="1">
      <alignment horizontal="center" vertical="center"/>
    </xf>
    <xf numFmtId="0" fontId="40" fillId="6" borderId="2" xfId="0" applyFont="1" applyFill="1" applyBorder="1" applyAlignment="1">
      <alignment horizontal="center"/>
    </xf>
  </cellXfs>
  <cellStyles count="1">
    <cellStyle name="Normal" xfId="0" builtinId="0"/>
  </cellStyles>
  <dxfs count="288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z val="8"/>
        <color rgb="FF000000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sz val="8"/>
        <color rgb="FF000000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dd/mm/yy;@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64" formatCode="dd/mm/yy;@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sz val="8"/>
        <color rgb="FF000000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dd/mm/yy;@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64" formatCode="dd/mm/yy;@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sz val="8"/>
        <color rgb="FF000000"/>
      </font>
      <fill>
        <patternFill patternType="solid">
          <fgColor indexed="64"/>
          <bgColor theme="4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dd/mm/yy;@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64" formatCode="dd/mm/yy;@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sz val="8"/>
        <color rgb="FF000000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325744</xdr:colOff>
      <xdr:row>4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tatus">
              <a:extLst>
                <a:ext uri="{FF2B5EF4-FFF2-40B4-BE49-F238E27FC236}">
                  <a16:creationId xmlns:a16="http://schemas.microsoft.com/office/drawing/2014/main" id="{4AB860A2-FEB8-C4B2-B6FC-1B7F9F752C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599838" cy="942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309562</xdr:colOff>
      <xdr:row>0</xdr:row>
      <xdr:rowOff>0</xdr:rowOff>
    </xdr:from>
    <xdr:to>
      <xdr:col>4</xdr:col>
      <xdr:colOff>640555</xdr:colOff>
      <xdr:row>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OPERADORA">
              <a:extLst>
                <a:ext uri="{FF2B5EF4-FFF2-40B4-BE49-F238E27FC236}">
                  <a16:creationId xmlns:a16="http://schemas.microsoft.com/office/drawing/2014/main" id="{30E83620-492F-60F5-C1A2-B0A06A3A47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PERADO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3656" y="0"/>
              <a:ext cx="2426493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640554</xdr:colOff>
      <xdr:row>0</xdr:row>
      <xdr:rowOff>1</xdr:rowOff>
    </xdr:from>
    <xdr:to>
      <xdr:col>20</xdr:col>
      <xdr:colOff>42299</xdr:colOff>
      <xdr:row>5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ETOR ORIGEM">
              <a:extLst>
                <a:ext uri="{FF2B5EF4-FFF2-40B4-BE49-F238E27FC236}">
                  <a16:creationId xmlns:a16="http://schemas.microsoft.com/office/drawing/2014/main" id="{8F435C18-B57F-D82F-D963-A633DDCC9E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TOR ORIG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10148" y="1"/>
              <a:ext cx="9414901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ility" refreshedDate="46087.683578472221" createdVersion="8" refreshedVersion="8" minRefreshableVersion="3" recordCount="143" xr:uid="{C9EB5D6F-0717-4F52-86BE-29CAB2D4DE12}">
  <cacheSource type="worksheet">
    <worksheetSource name="Tabela13"/>
  </cacheSource>
  <cacheFields count="12">
    <cacheField name="UF" numFmtId="0">
      <sharedItems/>
    </cacheField>
    <cacheField name="RE" numFmtId="0">
      <sharedItems containsBlank="1" containsMixedTypes="1" containsNumber="1" containsInteger="1" minValue="0" maxValue="45965"/>
    </cacheField>
    <cacheField name="TR" numFmtId="0">
      <sharedItems/>
    </cacheField>
    <cacheField name="TT" numFmtId="0">
      <sharedItems/>
    </cacheField>
    <cacheField name="FUNCIONÁRIO" numFmtId="0">
      <sharedItems/>
    </cacheField>
    <cacheField name="SUPERVISOR" numFmtId="0">
      <sharedItems count="9">
        <s v="CASSIO RICARDO FERNANDES AVILA"/>
        <s v="GREGORI SOUZA"/>
        <s v="ROBERTO DE SOUZA JUNIOR"/>
        <s v="DANIEL OLIVEIRA"/>
        <s v="CARLOS ROGERIO DA SILVA"/>
        <s v="TIAGO PEREIRA FRANCA"/>
        <s v="WILLIAN DIAS VAZ"/>
        <s v="ANDERSON CLAITON LISBOA"/>
        <s v="FABIO ROBERTO VERONICA"/>
      </sharedItems>
    </cacheField>
    <cacheField name="SETOR ORIGEM" numFmtId="0">
      <sharedItems/>
    </cacheField>
    <cacheField name="Observação" numFmtId="0">
      <sharedItems containsBlank="1" count="5">
        <s v="CO Digital com Falha"/>
        <m/>
        <s v="sem previsão veiculo frota"/>
        <s v="3 dias"/>
        <s v="problema chip"/>
      </sharedItems>
    </cacheField>
    <cacheField name="COORDENADOR" numFmtId="0">
      <sharedItems count="2">
        <s v="MAURI DUTRA"/>
        <s v="JUNIOMAR MOCHNACZ"/>
      </sharedItems>
    </cacheField>
    <cacheField name="DATA" numFmtId="0">
      <sharedItems containsNonDate="0" containsDate="1" containsBlank="1" containsMixedTypes="1" minDate="2025-03-10T00:00:00" maxDate="2026-03-14T00:00:00" count="8">
        <d v="2026-03-10T00:00:00"/>
        <d v="2026-03-11T00:00:00"/>
        <d v="2026-03-12T00:00:00"/>
        <d v="2026-03-13T00:00:00"/>
        <m/>
        <d v="2025-03-10T00:00:00" u="1"/>
        <d v="2026-03-09T00:00:00" u="1"/>
        <s v="09:03/2026" u="1"/>
      </sharedItems>
    </cacheField>
    <cacheField name="HORA" numFmtId="0">
      <sharedItems containsNonDate="0" containsDate="1" containsString="0" containsBlank="1" minDate="1899-12-30T09:00:00" maxDate="1899-12-30T16:00:00" count="12">
        <d v="1899-12-30T09:30:00"/>
        <d v="1899-12-30T14:30:00"/>
        <d v="1899-12-30T10:00:00"/>
        <d v="1899-12-30T11:00:00"/>
        <d v="1899-12-30T10:30:00"/>
        <d v="1899-12-30T14:00:00"/>
        <d v="1899-12-30T15:00:00"/>
        <d v="1899-12-30T15:30:00"/>
        <m/>
        <d v="1899-12-30T16:00:00" u="1"/>
        <d v="1899-12-30T09:00:00" u="1"/>
        <d v="1899-12-30T13:00:00" u="1"/>
      </sharedItems>
      <fieldGroup par="11"/>
    </cacheField>
    <cacheField name="Horas (HORA)" numFmtId="0" databaseField="0">
      <fieldGroup base="10">
        <rangePr groupBy="hours" startDate="1899-12-30T09:30:00" endDate="1899-12-30T15:30:00"/>
        <groupItems count="26">
          <s v="&lt;00/01/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niomar Alex Mochnacz" refreshedDate="46123.318100462966" createdVersion="8" refreshedVersion="8" minRefreshableVersion="3" recordCount="164" xr:uid="{AD4A4F6A-C139-4B96-B1A6-42A207E99DB8}">
  <cacheSource type="worksheet">
    <worksheetSource ref="A1:W1048576" sheet="Técnicos"/>
  </cacheSource>
  <cacheFields count="23">
    <cacheField name="UF" numFmtId="0">
      <sharedItems containsBlank="1"/>
    </cacheField>
    <cacheField name="TR" numFmtId="0">
      <sharedItems containsBlank="1" containsMixedTypes="1" containsNumber="1" containsInteger="1" minValue="0" maxValue="9"/>
    </cacheField>
    <cacheField name="TT" numFmtId="0">
      <sharedItems containsBlank="1" containsMixedTypes="1" containsNumber="1" containsInteger="1" minValue="6" maxValue="10"/>
    </cacheField>
    <cacheField name="FUNCIONÁRIO" numFmtId="0">
      <sharedItems containsBlank="1"/>
    </cacheField>
    <cacheField name="FUNÇÃO" numFmtId="0">
      <sharedItems containsBlank="1"/>
    </cacheField>
    <cacheField name="OPERADORA" numFmtId="0">
      <sharedItems containsBlank="1" count="4">
        <s v="TENANT/NIO"/>
        <s v="NIO"/>
        <s v="TENANT"/>
        <m/>
      </sharedItems>
    </cacheField>
    <cacheField name="SUPERVISOR" numFmtId="0">
      <sharedItems containsBlank="1"/>
    </cacheField>
    <cacheField name="SETOR ORIGEM" numFmtId="0">
      <sharedItems containsBlank="1" count="20">
        <s v="SC.VL2.BCU.11"/>
        <s v="SC.VL2.IAI.12"/>
        <s v="SC.VL2.NVG.11"/>
        <s v="SC.LESTE.PAC.11"/>
        <s v="SC.LESTE.SOO.11"/>
        <s v="SC.SUL.CUA.11"/>
        <s v="SC.SUL.TUB.11"/>
        <s v="SC.SUL.YCA.11"/>
        <s v="SC.NORTE.JVE.11"/>
        <s v="SC.PLA.LGS.11"/>
        <s v="SC.OESTE.CCO.11"/>
        <s v="SC.LESTE.FNS.11"/>
        <s v="SC.LESTE.TRD.11"/>
        <s v="SC.VL2.IAI.11"/>
        <s v="SC.VL1.BQE.11"/>
        <s v="SC.NORTE.JVE.12"/>
        <s v="SC.VL1.BNU.12"/>
        <s v="SC.VL1.BNU.11"/>
        <s v="SC.VL1.RSL.11"/>
        <m/>
      </sharedItems>
    </cacheField>
    <cacheField name="SETOR ATUAL" numFmtId="0">
      <sharedItems containsBlank="1"/>
    </cacheField>
    <cacheField name="Status" numFmtId="0">
      <sharedItems containsBlank="1" count="10">
        <s v="Folga"/>
        <s v="Desligado"/>
        <m/>
        <s v="Técnico de Dados"/>
        <s v="Afastado"/>
        <s v="Atestado"/>
        <s v="Duplado"/>
        <s v="Treinamento"/>
        <s v="Outros" u="1"/>
        <s v="Em Contratação" u="1"/>
      </sharedItems>
    </cacheField>
    <cacheField name="Status_Check" numFmtId="0">
      <sharedItems containsBlank="1"/>
    </cacheField>
    <cacheField name="Eficiencia" numFmtId="0">
      <sharedItems containsBlank="1"/>
    </cacheField>
    <cacheField name="OPERADORA ATUAÇÃO" numFmtId="0">
      <sharedItems containsBlank="1" count="4">
        <s v="TENANT/NIO"/>
        <s v="NIO"/>
        <s v="TENANT"/>
        <m/>
      </sharedItems>
    </cacheField>
    <cacheField name="Inicio Ind" numFmtId="164">
      <sharedItems containsNonDate="0" containsDate="1" containsString="0" containsBlank="1" minDate="2026-03-16T00:00:00" maxDate="2026-04-04T00:00:00"/>
    </cacheField>
    <cacheField name="Previsão Retorno" numFmtId="0">
      <sharedItems containsNonDate="0" containsDate="1" containsString="0" containsBlank="1" minDate="2026-03-18T00:00:00" maxDate="2026-04-08T00:00:00"/>
    </cacheField>
    <cacheField name="Observação" numFmtId="0">
      <sharedItems containsBlank="1"/>
    </cacheField>
    <cacheField name="SEF" numFmtId="0">
      <sharedItems containsBlank="1"/>
    </cacheField>
    <cacheField name="Coluna1" numFmtId="0">
      <sharedItems containsNonDate="0" containsString="0" containsBlank="1"/>
    </cacheField>
    <cacheField name="COORDENADOR" numFmtId="0">
      <sharedItems containsBlank="1"/>
    </cacheField>
    <cacheField name="MUNICIPIO" numFmtId="0">
      <sharedItems containsBlank="1"/>
    </cacheField>
    <cacheField name="CP" numFmtId="0">
      <sharedItems containsBlank="1"/>
    </cacheField>
    <cacheField name="Faz os 2?" numFmtId="0">
      <sharedItems containsBlank="1"/>
    </cacheField>
    <cacheField name="C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2924573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s v="SC"/>
    <n v="45894"/>
    <s v="TT720812"/>
    <s v="TT720812"/>
    <s v="PABLO JAHN ALVES"/>
    <x v="0"/>
    <s v="SC.LESTE.SOO.11"/>
    <x v="0"/>
    <x v="0"/>
    <x v="0"/>
    <x v="0"/>
  </r>
  <r>
    <s v="SC"/>
    <n v="45702"/>
    <s v="TR134058"/>
    <s v="TT134058"/>
    <s v="VALDIRAN DA SILVA LEITE"/>
    <x v="0"/>
    <s v="SC.SUL.CUA.11"/>
    <x v="0"/>
    <x v="0"/>
    <x v="0"/>
    <x v="1"/>
  </r>
  <r>
    <s v="SC"/>
    <n v="45965"/>
    <s v="TR525780"/>
    <s v="TT828845"/>
    <s v="CARLOS RODRIGO DE SOUZA"/>
    <x v="0"/>
    <s v="SC.LESTE.SOO.11"/>
    <x v="0"/>
    <x v="0"/>
    <x v="0"/>
    <x v="2"/>
  </r>
  <r>
    <s v="SC"/>
    <n v="45960"/>
    <s v="TR533230"/>
    <s v="TT828851"/>
    <s v="LUIZ FILIPI FERREIRA DA SILVA"/>
    <x v="1"/>
    <s v="SC.LESTE.FNS.11"/>
    <x v="0"/>
    <x v="0"/>
    <x v="0"/>
    <x v="3"/>
  </r>
  <r>
    <s v="SC"/>
    <n v="45963"/>
    <s v="TR821743"/>
    <s v="TT828853"/>
    <s v="RAFAEL LA BELLA PEDROSO"/>
    <x v="1"/>
    <s v="SC.LESTE.FNS.11"/>
    <x v="0"/>
    <x v="0"/>
    <x v="0"/>
    <x v="4"/>
  </r>
  <r>
    <s v="SC"/>
    <n v="45955"/>
    <s v="TR804222"/>
    <s v="TT804222"/>
    <s v="ELIELSON DA SILVA ALVES"/>
    <x v="1"/>
    <s v="SC.LESTE.FNS.11"/>
    <x v="0"/>
    <x v="0"/>
    <x v="0"/>
    <x v="5"/>
  </r>
  <r>
    <s v="SC"/>
    <n v="45739"/>
    <s v="TR800397"/>
    <s v=" TT800397"/>
    <s v="FELIPE DE SOUZA"/>
    <x v="2"/>
    <s v="SC.VL2.IAI.11"/>
    <x v="0"/>
    <x v="1"/>
    <x v="0"/>
    <x v="6"/>
  </r>
  <r>
    <s v="SC"/>
    <n v="45706"/>
    <s v="TR560731"/>
    <s v="TT560731"/>
    <s v="PASCOAL COAN"/>
    <x v="3"/>
    <s v="SC.NORTE.JVE.11"/>
    <x v="0"/>
    <x v="1"/>
    <x v="1"/>
    <x v="0"/>
  </r>
  <r>
    <s v="SC"/>
    <n v="45750"/>
    <s v="TR540153"/>
    <s v="TT540153"/>
    <s v="IGOR LUCAS RUCHINSKI"/>
    <x v="3"/>
    <s v="SC.NORTE.JVE.11"/>
    <x v="0"/>
    <x v="1"/>
    <x v="1"/>
    <x v="4"/>
  </r>
  <r>
    <s v="SC"/>
    <n v="45826"/>
    <s v="TT156528"/>
    <s v="TT156528"/>
    <s v="ROBSON ROBERTO REIS"/>
    <x v="3"/>
    <s v="SC.NORTE.JVE.11"/>
    <x v="0"/>
    <x v="1"/>
    <x v="1"/>
    <x v="1"/>
  </r>
  <r>
    <s v="SC"/>
    <n v="45704"/>
    <s v="TR549443"/>
    <s v="TT549443"/>
    <s v="MARCELO ALVES CUSTODIO"/>
    <x v="4"/>
    <s v="SC.VL2.NVG.11"/>
    <x v="0"/>
    <x v="1"/>
    <x v="1"/>
    <x v="7"/>
  </r>
  <r>
    <s v="SC"/>
    <n v="45921"/>
    <s v="TR044101"/>
    <s v="TT827898"/>
    <s v="CLAUDINEI DA SILVA HERCULANO"/>
    <x v="5"/>
    <s v="SC.NORTE.JVE.12"/>
    <x v="0"/>
    <x v="1"/>
    <x v="1"/>
    <x v="3"/>
  </r>
  <r>
    <s v="SC"/>
    <n v="45752"/>
    <s v="TR790152"/>
    <s v="TT790152"/>
    <s v="FRANCISCO EDUARDO DA ROZA"/>
    <x v="5"/>
    <s v="SC.NORTE.JVE.12"/>
    <x v="0"/>
    <x v="1"/>
    <x v="1"/>
    <x v="2"/>
  </r>
  <r>
    <s v="SC"/>
    <n v="45672"/>
    <s v="TR634889"/>
    <s v="TT634889"/>
    <s v="THAFNYS DOS SANTOS ORTEGA"/>
    <x v="5"/>
    <s v="SC.NORTE.JVE.12"/>
    <x v="0"/>
    <x v="1"/>
    <x v="1"/>
    <x v="5"/>
  </r>
  <r>
    <s v="SC"/>
    <n v="45959"/>
    <s v="TR821741"/>
    <s v="TT828849"/>
    <s v="LUCAS PADILHA  DOS SANTOS"/>
    <x v="5"/>
    <s v="SC.NORTE.JVE.12"/>
    <x v="0"/>
    <x v="1"/>
    <x v="1"/>
    <x v="6"/>
  </r>
  <r>
    <s v="SC"/>
    <n v="45748"/>
    <s v="TR182495"/>
    <s v="TT182495"/>
    <s v="ANDERSON FELIPE CALEGARI"/>
    <x v="6"/>
    <s v="SC.VL1.BNU.11"/>
    <x v="0"/>
    <x v="0"/>
    <x v="2"/>
    <x v="0"/>
  </r>
  <r>
    <s v="SC"/>
    <n v="45708"/>
    <s v="TR647818"/>
    <s v="TT647818"/>
    <s v="FELIPE RIZZOTTO"/>
    <x v="6"/>
    <s v="SC.VL1.BNU.12"/>
    <x v="0"/>
    <x v="0"/>
    <x v="2"/>
    <x v="5"/>
  </r>
  <r>
    <s v="SC"/>
    <n v="45756"/>
    <s v="TR736827"/>
    <s v="TT736827"/>
    <s v="JOÃO PAULO MERETIKA"/>
    <x v="6"/>
    <s v="SC.VL1.BNU.12"/>
    <x v="0"/>
    <x v="0"/>
    <x v="2"/>
    <x v="1"/>
  </r>
  <r>
    <s v="SC"/>
    <n v="45753"/>
    <s v="TT119205"/>
    <s v="TT119205"/>
    <s v="VALDECIR MOTTA"/>
    <x v="6"/>
    <s v="SC.VL1.BNU.12"/>
    <x v="0"/>
    <x v="0"/>
    <x v="2"/>
    <x v="6"/>
  </r>
  <r>
    <s v="SC"/>
    <n v="45751"/>
    <s v="TR821242"/>
    <s v="TT826816"/>
    <s v="EMERSON ACACIO NAZARIO"/>
    <x v="6"/>
    <s v="SC.VL1.RSL.11"/>
    <x v="0"/>
    <x v="0"/>
    <x v="2"/>
    <x v="7"/>
  </r>
  <r>
    <s v="SC"/>
    <n v="45847"/>
    <s v="TR817614"/>
    <s v=" TT827899"/>
    <s v="HUGO ROBERTO SILVA DO NASCIMENTO"/>
    <x v="6"/>
    <s v="SC.VL1.BNU.11"/>
    <x v="0"/>
    <x v="0"/>
    <x v="2"/>
    <x v="2"/>
  </r>
  <r>
    <s v="SC"/>
    <n v="45749"/>
    <s v="TR537702"/>
    <s v="TT826817"/>
    <s v="EVELTON AMARAL DOS SANTOS"/>
    <x v="4"/>
    <s v="SC.VL2.BCU.11"/>
    <x v="0"/>
    <x v="1"/>
    <x v="2"/>
    <x v="4"/>
  </r>
  <r>
    <s v="SC"/>
    <n v="45700"/>
    <s v="TR003232"/>
    <s v="TT003232"/>
    <s v="DANIEL MARINHO BATISTA"/>
    <x v="2"/>
    <s v="SC.VL2.IAI.11"/>
    <x v="0"/>
    <x v="1"/>
    <x v="2"/>
    <x v="1"/>
  </r>
  <r>
    <s v="SC"/>
    <n v="45703"/>
    <s v="TR775911"/>
    <s v="TT775911"/>
    <s v="PABLO RIBEIRO DA SILVA"/>
    <x v="4"/>
    <s v="SC.VL2.NVG.11"/>
    <x v="0"/>
    <x v="1"/>
    <x v="3"/>
    <x v="5"/>
  </r>
  <r>
    <s v="SC"/>
    <n v="45958"/>
    <s v="TR821742"/>
    <s v="TT828852"/>
    <s v="MARCOS CORDEIRO DELGADO"/>
    <x v="6"/>
    <s v="SC.VL1.BNU.11"/>
    <x v="0"/>
    <x v="0"/>
    <x v="3"/>
    <x v="2"/>
  </r>
  <r>
    <s v="SC"/>
    <n v="45961"/>
    <s v="TR821740"/>
    <s v="TT828848"/>
    <s v="LUCAS DE JESUS MARTINS"/>
    <x v="6"/>
    <s v="SC.VL1.BNU.11"/>
    <x v="0"/>
    <x v="0"/>
    <x v="3"/>
    <x v="4"/>
  </r>
  <r>
    <s v="SC"/>
    <m/>
    <s v="TR820010"/>
    <s v="TT823771"/>
    <s v="SILVONEI JOSE GONCALVES TRINDADE"/>
    <x v="0"/>
    <s v="SC.LESTE.SOO.11"/>
    <x v="1"/>
    <x v="0"/>
    <x v="4"/>
    <x v="8"/>
  </r>
  <r>
    <s v="SC"/>
    <m/>
    <s v="TR785766"/>
    <s v="TT785766"/>
    <s v="THALLES ALVES DE OLIVEIRA"/>
    <x v="6"/>
    <s v="SC.VL1.BNU.12"/>
    <x v="1"/>
    <x v="0"/>
    <x v="4"/>
    <x v="8"/>
  </r>
  <r>
    <s v="SC"/>
    <m/>
    <s v="TR571422"/>
    <s v="TT823208"/>
    <s v="MARILDO ALEXSANDRO CRESTANI"/>
    <x v="6"/>
    <s v="SC.VL1.BNU.11"/>
    <x v="1"/>
    <x v="0"/>
    <x v="4"/>
    <x v="8"/>
  </r>
  <r>
    <s v="SC"/>
    <m/>
    <s v="TR550752"/>
    <s v="TT823417"/>
    <s v="DAGOBERTO RIBEIRO DA SILVA"/>
    <x v="0"/>
    <s v="SC.LESTE.SOO.11"/>
    <x v="1"/>
    <x v="0"/>
    <x v="4"/>
    <x v="8"/>
  </r>
  <r>
    <s v="SC"/>
    <m/>
    <s v="TR818956"/>
    <s v="TT821512"/>
    <s v="CARLOS DINIZ DA SILVA"/>
    <x v="6"/>
    <s v="SC.VL1.BNU.12"/>
    <x v="1"/>
    <x v="0"/>
    <x v="4"/>
    <x v="8"/>
  </r>
  <r>
    <s v="SC"/>
    <m/>
    <s v="TR738176"/>
    <s v="TT813390"/>
    <s v="RICARDO LUIZ JABLONSKI"/>
    <x v="1"/>
    <s v="SC.LESTE.FNS.11"/>
    <x v="1"/>
    <x v="0"/>
    <x v="4"/>
    <x v="8"/>
  </r>
  <r>
    <s v="SC"/>
    <m/>
    <s v="TR750220"/>
    <s v="TT750220"/>
    <s v="TUAN LOPES FAGUNDES PEREIRA"/>
    <x v="0"/>
    <s v="SC.LESTE.PAC.11"/>
    <x v="1"/>
    <x v="0"/>
    <x v="4"/>
    <x v="8"/>
  </r>
  <r>
    <s v="SC"/>
    <m/>
    <s v="TR817970"/>
    <s v="TT818577"/>
    <s v="ALEXANDRE MENDES PEREIRA"/>
    <x v="7"/>
    <s v="SC.NORTE.JVE.11"/>
    <x v="1"/>
    <x v="1"/>
    <x v="4"/>
    <x v="8"/>
  </r>
  <r>
    <s v="SC"/>
    <m/>
    <s v="TR547240"/>
    <s v="TT821569"/>
    <s v="IVONEI DA SILVA"/>
    <x v="8"/>
    <s v="SC.PLA.LGS.11"/>
    <x v="2"/>
    <x v="0"/>
    <x v="4"/>
    <x v="8"/>
  </r>
  <r>
    <s v="SC"/>
    <m/>
    <s v="TR789009"/>
    <s v="TT789009"/>
    <s v="JHON JARLEI OROBIO GAMBOA"/>
    <x v="6"/>
    <s v="SC.VL1.BNU.12"/>
    <x v="1"/>
    <x v="0"/>
    <x v="4"/>
    <x v="8"/>
  </r>
  <r>
    <s v="SC"/>
    <n v="45449"/>
    <s v="TR820009"/>
    <s v="TT823770"/>
    <s v="MATHEUS ABILIO DA COSTA BOGA"/>
    <x v="2"/>
    <s v="SC.VL2.IAI.11"/>
    <x v="1"/>
    <x v="1"/>
    <x v="4"/>
    <x v="8"/>
  </r>
  <r>
    <s v="SC"/>
    <e v="#N/A"/>
    <s v="TT695480"/>
    <s v="TT695480"/>
    <s v="EVANDRO SILVA JUSTO"/>
    <x v="1"/>
    <s v="SC.LESTE.TRD.11"/>
    <x v="1"/>
    <x v="0"/>
    <x v="4"/>
    <x v="8"/>
  </r>
  <r>
    <s v="SC"/>
    <n v="45471"/>
    <s v="TR454198"/>
    <s v="TT822909"/>
    <s v="FERNANDO GALLON"/>
    <x v="1"/>
    <s v="SC.LESTE.FNS.11"/>
    <x v="1"/>
    <x v="0"/>
    <x v="4"/>
    <x v="8"/>
  </r>
  <r>
    <s v="SC"/>
    <n v="44639"/>
    <s v="TR817750"/>
    <s v="TT817616"/>
    <s v="LEANDRO DE SOUZA ASSUNCAO"/>
    <x v="1"/>
    <s v="SC.LESTE.TRD.11"/>
    <x v="1"/>
    <x v="0"/>
    <x v="4"/>
    <x v="8"/>
  </r>
  <r>
    <s v="SC"/>
    <n v="45754"/>
    <s v="TT813649"/>
    <s v="TT813649"/>
    <s v="MARCOS DA SILVA CARRILHO"/>
    <x v="1"/>
    <s v="SC.LESTE.FNS.11"/>
    <x v="1"/>
    <x v="0"/>
    <x v="4"/>
    <x v="8"/>
  </r>
  <r>
    <s v="SC"/>
    <n v="4529"/>
    <s v="TR577116"/>
    <s v="TT577116"/>
    <s v="RODRIGO MELLO DA SILVA"/>
    <x v="1"/>
    <s v="SC.LESTE.TRD.11"/>
    <x v="1"/>
    <x v="0"/>
    <x v="4"/>
    <x v="8"/>
  </r>
  <r>
    <s v="SC"/>
    <e v="#N/A"/>
    <s v="TR507457"/>
    <s v="TT828534"/>
    <s v="SIDNEI DA SILVA"/>
    <x v="1"/>
    <s v="SC.LESTE.FNS.11"/>
    <x v="1"/>
    <x v="0"/>
    <x v="4"/>
    <x v="8"/>
  </r>
  <r>
    <s v="SC"/>
    <n v="45293"/>
    <s v="TR618415"/>
    <s v="TT618415"/>
    <s v="SILVIO GARCIA"/>
    <x v="1"/>
    <s v="SC.LESTE.FNS.11"/>
    <x v="1"/>
    <x v="0"/>
    <x v="4"/>
    <x v="8"/>
  </r>
  <r>
    <s v="SC"/>
    <n v="44953"/>
    <s v="TR818961"/>
    <s v="TT821516"/>
    <s v="VAGNER DO NASCIMENTO GIVIGI"/>
    <x v="1"/>
    <s v="SC.LESTE.TRD.11"/>
    <x v="1"/>
    <x v="0"/>
    <x v="4"/>
    <x v="8"/>
  </r>
  <r>
    <s v="SC"/>
    <n v="45197"/>
    <s v="TR011124"/>
    <s v="TT011124"/>
    <s v="CARLOS TADEU MOTA"/>
    <x v="8"/>
    <s v="SC.PLA.LGS.11"/>
    <x v="1"/>
    <x v="0"/>
    <x v="4"/>
    <x v="8"/>
  </r>
  <r>
    <s v="SC"/>
    <n v="45294"/>
    <s v="TR810966"/>
    <s v="TT811185"/>
    <s v="CHRISTIAN NUNES MACHADO"/>
    <x v="0"/>
    <s v="SC.LESTE.PAC.11"/>
    <x v="1"/>
    <x v="0"/>
    <x v="4"/>
    <x v="8"/>
  </r>
  <r>
    <s v="SC"/>
    <n v="4522"/>
    <s v="TR741363"/>
    <s v="TT741363"/>
    <s v="ELESSANDRO DA SILVA"/>
    <x v="8"/>
    <s v="SC.PLA.LGS.11"/>
    <x v="1"/>
    <x v="0"/>
    <x v="4"/>
    <x v="8"/>
  </r>
  <r>
    <s v="SC"/>
    <n v="45327"/>
    <s v="TR819630"/>
    <s v="TT822848"/>
    <s v="EWERTON AFONSO AMARAL OLIVEIRA"/>
    <x v="8"/>
    <s v="SC.PLA.LGS.11"/>
    <x v="1"/>
    <x v="0"/>
    <x v="4"/>
    <x v="8"/>
  </r>
  <r>
    <s v="SC"/>
    <n v="4524"/>
    <s v="TR790154"/>
    <s v="TT790154"/>
    <s v="FABIO DE SOUZA BARBOSA"/>
    <x v="0"/>
    <s v="SC.LESTE.PAC.11"/>
    <x v="1"/>
    <x v="0"/>
    <x v="4"/>
    <x v="8"/>
  </r>
  <r>
    <s v="SC"/>
    <n v="44783"/>
    <s v="TR794904"/>
    <s v="TT794904"/>
    <s v="GIOVANI DA SILVA ANTUNES"/>
    <x v="0"/>
    <s v="SC.LESTE.SOO.11"/>
    <x v="1"/>
    <x v="0"/>
    <x v="4"/>
    <x v="8"/>
  </r>
  <r>
    <s v="SC"/>
    <n v="4541"/>
    <s v="TT821513"/>
    <s v="TR818957"/>
    <s v="GABRIEL PEREIRA SALAZAR"/>
    <x v="0"/>
    <s v="SC.LESTE.SOO.11"/>
    <x v="1"/>
    <x v="0"/>
    <x v="4"/>
    <x v="8"/>
  </r>
  <r>
    <s v="SC"/>
    <n v="45139"/>
    <s v="TR819188"/>
    <s v="TT822112"/>
    <s v="GUSTAVO CLAUDIONOR SOARES"/>
    <x v="0"/>
    <s v="SC.LESTE.SOO.11"/>
    <x v="1"/>
    <x v="0"/>
    <x v="4"/>
    <x v="8"/>
  </r>
  <r>
    <s v="SC"/>
    <n v="45297"/>
    <s v="TR798959"/>
    <s v="TT798959"/>
    <s v="IGOR SANTOS DA SILVA"/>
    <x v="0"/>
    <s v="SC.LESTE.SOO.11"/>
    <x v="1"/>
    <x v="0"/>
    <x v="4"/>
    <x v="8"/>
  </r>
  <r>
    <s v="SC"/>
    <n v="45472"/>
    <s v="TR791113"/>
    <s v="TT791113"/>
    <s v="ALLAN GILBERTO DOS SANTOS SOUZA"/>
    <x v="1"/>
    <s v="SC.LESTE.TRD.11"/>
    <x v="1"/>
    <x v="0"/>
    <x v="4"/>
    <x v="8"/>
  </r>
  <r>
    <s v="SC"/>
    <n v="4533"/>
    <s v="TT797822"/>
    <s v="TR797822"/>
    <s v="ANDERSON LUIS SCHNEIDERS BATISTA"/>
    <x v="1"/>
    <s v="SC.LESTE.TRD.11"/>
    <x v="1"/>
    <x v="0"/>
    <x v="4"/>
    <x v="8"/>
  </r>
  <r>
    <s v="SC"/>
    <n v="44698"/>
    <s v="TR614972"/>
    <s v="TT614972"/>
    <s v="EDUARDO DIAS FERNANDES"/>
    <x v="1"/>
    <s v="SC.LESTE.TRD.11"/>
    <x v="1"/>
    <x v="0"/>
    <x v="4"/>
    <x v="8"/>
  </r>
  <r>
    <s v="SC"/>
    <n v="4533"/>
    <s v="TR812670"/>
    <s v="TT813648"/>
    <s v="JESSE MONTEIRO DE SOUZA JUNIOR"/>
    <x v="1"/>
    <s v="SC.LESTE.TRD.11"/>
    <x v="1"/>
    <x v="0"/>
    <x v="4"/>
    <x v="8"/>
  </r>
  <r>
    <s v="SC"/>
    <n v="4554"/>
    <s v="TR809136"/>
    <s v="TT809136"/>
    <s v="MAIKON GONCALVES MARTINS"/>
    <x v="1"/>
    <s v="SC.LESTE.TRD.11"/>
    <x v="1"/>
    <x v="0"/>
    <x v="4"/>
    <x v="8"/>
  </r>
  <r>
    <s v="SC"/>
    <n v="45315"/>
    <s v="TR791263"/>
    <s v="TT791263"/>
    <s v="PAOLO ARRUE DE MELO"/>
    <x v="1"/>
    <s v="SC.LESTE.TRD.11"/>
    <x v="1"/>
    <x v="0"/>
    <x v="4"/>
    <x v="8"/>
  </r>
  <r>
    <s v="SC"/>
    <n v="4572"/>
    <s v="TR687140"/>
    <s v="TT687140"/>
    <s v="ARLEN VALDIR ZUCHO"/>
    <x v="7"/>
    <s v="SC.NORTE.JVE.11"/>
    <x v="1"/>
    <x v="1"/>
    <x v="4"/>
    <x v="8"/>
  </r>
  <r>
    <s v="SC"/>
    <n v="44951"/>
    <s v="TR817132"/>
    <s v="TT821514"/>
    <s v="GUILHERME COSTA MOREIRA"/>
    <x v="7"/>
    <s v="SC.NORTE.JVE.11"/>
    <x v="1"/>
    <x v="1"/>
    <x v="4"/>
    <x v="8"/>
  </r>
  <r>
    <s v="SC"/>
    <n v="45516"/>
    <s v="TR819750"/>
    <s v="TT823284"/>
    <s v="IGOR ROBERTO SENA PAES"/>
    <x v="7"/>
    <s v="SC.NORTE.JVE.11"/>
    <x v="1"/>
    <x v="1"/>
    <x v="4"/>
    <x v="8"/>
  </r>
  <r>
    <s v="SC"/>
    <n v="44631"/>
    <s v="TR817749"/>
    <s v="TT817615"/>
    <s v="IVAN DE SOUSA OLIVEIRA"/>
    <x v="7"/>
    <s v="SC.NORTE.JVE.11"/>
    <x v="1"/>
    <x v="1"/>
    <x v="4"/>
    <x v="8"/>
  </r>
  <r>
    <s v="SC"/>
    <n v="44683"/>
    <s v="TR817971"/>
    <s v="TT818725"/>
    <s v="KELVER JONATHAN NASCIMENTO DINIZ"/>
    <x v="7"/>
    <s v="SC.NORTE.JVE.11"/>
    <x v="1"/>
    <x v="1"/>
    <x v="4"/>
    <x v="8"/>
  </r>
  <r>
    <s v="SC"/>
    <n v="45324"/>
    <s v="TR695690"/>
    <s v="TT695690"/>
    <s v="LEONARDO DUARTE GOMES"/>
    <x v="7"/>
    <s v="SC.NORTE.JVE.11"/>
    <x v="1"/>
    <x v="1"/>
    <x v="4"/>
    <x v="8"/>
  </r>
  <r>
    <s v="SC"/>
    <n v="45134"/>
    <s v="TR733308"/>
    <s v="TT733308"/>
    <s v="RICARDO BADIO"/>
    <x v="7"/>
    <s v="SC.NORTE.JVE.11"/>
    <x v="1"/>
    <x v="1"/>
    <x v="4"/>
    <x v="8"/>
  </r>
  <r>
    <s v="SC"/>
    <n v="4521"/>
    <s v="TR123986"/>
    <s v="TT123986"/>
    <s v="SIDNEI LACERDA DA ROSA"/>
    <x v="7"/>
    <s v="SC.NORTE.JVE.11"/>
    <x v="1"/>
    <x v="1"/>
    <x v="4"/>
    <x v="8"/>
  </r>
  <r>
    <s v="SC"/>
    <n v="45491"/>
    <s v="TR820187"/>
    <s v="TT824019"/>
    <s v="THIAGO ROCHA FERREIRA"/>
    <x v="7"/>
    <s v="SC.NORTE.JVE.11"/>
    <x v="1"/>
    <x v="1"/>
    <x v="4"/>
    <x v="8"/>
  </r>
  <r>
    <s v="SC"/>
    <n v="44694"/>
    <s v="TR780145"/>
    <s v="TT780145"/>
    <s v="VERISMAR ATNAN ALVES DOS SANTOS"/>
    <x v="7"/>
    <s v="SC.NORTE.JVE.11"/>
    <x v="1"/>
    <x v="1"/>
    <x v="4"/>
    <x v="8"/>
  </r>
  <r>
    <s v="SC"/>
    <n v="44875"/>
    <s v="TR818780"/>
    <s v="TT820852"/>
    <s v="WARLEY BARBOSA DOS SANTOS"/>
    <x v="7"/>
    <s v="SC.NORTE.JVE.11"/>
    <x v="1"/>
    <x v="1"/>
    <x v="4"/>
    <x v="8"/>
  </r>
  <r>
    <s v="SC"/>
    <n v="45135"/>
    <s v="TR790151"/>
    <s v="TT790151"/>
    <s v="EDINALDO RIBEIRO BENEDITO"/>
    <x v="5"/>
    <s v="SC.NORTE.JVE.12"/>
    <x v="1"/>
    <x v="1"/>
    <x v="4"/>
    <x v="8"/>
  </r>
  <r>
    <s v="SC"/>
    <n v="4523"/>
    <s v="TR535090"/>
    <s v="TT535090"/>
    <s v="EZIO SILVA CABRAL JUNIOR"/>
    <x v="5"/>
    <s v="SC.NORTE.JVE.12"/>
    <x v="1"/>
    <x v="1"/>
    <x v="4"/>
    <x v="8"/>
  </r>
  <r>
    <s v="SC"/>
    <n v="4525"/>
    <s v="TR612597"/>
    <s v="TT612597"/>
    <s v="FABIO VELOZO"/>
    <x v="5"/>
    <s v="SC.NORTE.JVE.12"/>
    <x v="1"/>
    <x v="1"/>
    <x v="4"/>
    <x v="8"/>
  </r>
  <r>
    <s v="SC"/>
    <n v="44678"/>
    <s v="TR393853"/>
    <s v="TT818693"/>
    <s v="JOCENIR DA COSTA CHAVES"/>
    <x v="5"/>
    <s v="SC.NORTE.JVE.12"/>
    <x v="1"/>
    <x v="1"/>
    <x v="4"/>
    <x v="8"/>
  </r>
  <r>
    <s v="SC"/>
    <n v="45357"/>
    <s v="TR610570"/>
    <s v="TT610570"/>
    <s v="LENOIR CEOLIN"/>
    <x v="5"/>
    <s v="SC.NORTE.JVE.12"/>
    <x v="1"/>
    <x v="1"/>
    <x v="4"/>
    <x v="8"/>
  </r>
  <r>
    <s v="SC"/>
    <n v="45198"/>
    <s v="TR695691"/>
    <s v="TT695691"/>
    <s v="MAICON JUNIOR DUARTE"/>
    <x v="5"/>
    <s v="SC.NORTE.JVE.12"/>
    <x v="1"/>
    <x v="1"/>
    <x v="4"/>
    <x v="8"/>
  </r>
  <r>
    <s v="SC"/>
    <n v="45323"/>
    <s v="TR687177"/>
    <s v="TT687177"/>
    <s v="MARCOS PAULO DE BORBA"/>
    <x v="5"/>
    <s v="SC.NORTE.JVE.12"/>
    <x v="1"/>
    <x v="1"/>
    <x v="4"/>
    <x v="8"/>
  </r>
  <r>
    <s v="SC"/>
    <n v="0"/>
    <s v="TR819189"/>
    <s v="TT822113"/>
    <s v="RAFAEL RAUL SANTOS"/>
    <x v="5"/>
    <s v="SC.NORTE.JVE.12"/>
    <x v="1"/>
    <x v="1"/>
    <x v="4"/>
    <x v="8"/>
  </r>
  <r>
    <s v="SC"/>
    <n v="45298"/>
    <s v="TR810589"/>
    <s v="TT822591"/>
    <s v="RONNIE JOSE GRANADO DELGADO"/>
    <x v="5"/>
    <s v="SC.NORTE.JVE.12"/>
    <x v="1"/>
    <x v="1"/>
    <x v="4"/>
    <x v="8"/>
  </r>
  <r>
    <s v="SC"/>
    <n v="45358"/>
    <s v="TR798462"/>
    <s v="TT798462"/>
    <s v="THIAGO AZEVEDO MORENO"/>
    <x v="5"/>
    <s v="SC.NORTE.JVE.12"/>
    <x v="1"/>
    <x v="1"/>
    <x v="4"/>
    <x v="8"/>
  </r>
  <r>
    <s v="SC"/>
    <n v="456"/>
    <s v="TR798463"/>
    <s v="TT798463"/>
    <s v="TIAGO TAVARES"/>
    <x v="5"/>
    <s v="SC.NORTE.JVE.12"/>
    <x v="1"/>
    <x v="1"/>
    <x v="4"/>
    <x v="8"/>
  </r>
  <r>
    <s v="SC"/>
    <n v="4521"/>
    <s v="TR751389"/>
    <s v="TT751389"/>
    <s v="VITOR AUGUSTO DIAS CAMARA"/>
    <x v="5"/>
    <s v="SC.NORTE.JVE.12"/>
    <x v="1"/>
    <x v="1"/>
    <x v="4"/>
    <x v="8"/>
  </r>
  <r>
    <s v="SC"/>
    <n v="45319"/>
    <s v="TR819638"/>
    <s v="TT822852"/>
    <s v="WILDERLEI DOS SANTOS DE CARVALHO"/>
    <x v="5"/>
    <s v="SC.NORTE.JVE.12"/>
    <x v="1"/>
    <x v="1"/>
    <x v="4"/>
    <x v="8"/>
  </r>
  <r>
    <s v="SC"/>
    <n v="45332"/>
    <s v="TR578678"/>
    <s v="TT810210"/>
    <s v="JULIANO NECKEL"/>
    <x v="8"/>
    <s v="SC.OESTE.CCO.11"/>
    <x v="1"/>
    <x v="0"/>
    <x v="4"/>
    <x v="8"/>
  </r>
  <r>
    <s v="SC"/>
    <n v="4567"/>
    <s v="TR536003"/>
    <s v="TT536003"/>
    <s v="NAILOR VAIME BELTRAME"/>
    <x v="8"/>
    <s v="SC.OESTE.CCO.11"/>
    <x v="1"/>
    <x v="0"/>
    <x v="4"/>
    <x v="8"/>
  </r>
  <r>
    <s v="SC"/>
    <n v="4575"/>
    <s v="TR011326"/>
    <s v="TT011326"/>
    <s v="RENI LUIS BALLEN"/>
    <x v="8"/>
    <s v="SC.OESTE.CCO.11"/>
    <x v="1"/>
    <x v="0"/>
    <x v="4"/>
    <x v="8"/>
  </r>
  <r>
    <s v="SC"/>
    <n v="45328"/>
    <s v="TC031504"/>
    <s v="TT822851"/>
    <s v="ROGERIO LOURENCO PEREIRA"/>
    <x v="8"/>
    <s v="SC.OESTE.CCO.11"/>
    <x v="1"/>
    <x v="0"/>
    <x v="4"/>
    <x v="8"/>
  </r>
  <r>
    <s v="SC"/>
    <n v="44682"/>
    <s v="TR585339"/>
    <s v="TT818532"/>
    <s v="ALCIONE LOPES DE LIZ"/>
    <x v="8"/>
    <s v="SC.PLA.LGS.11"/>
    <x v="1"/>
    <x v="0"/>
    <x v="4"/>
    <x v="8"/>
  </r>
  <r>
    <s v="SC"/>
    <n v="44641"/>
    <s v="TR817746"/>
    <s v="TT817606"/>
    <s v="CHARLES DE LIMA"/>
    <x v="8"/>
    <s v="SC.PLA.LGS.11"/>
    <x v="1"/>
    <x v="0"/>
    <x v="4"/>
    <x v="8"/>
  </r>
  <r>
    <s v="SC"/>
    <n v="45199"/>
    <s v="TR741362"/>
    <s v="TT741362"/>
    <s v="DYEMES THEODORO PADILHA"/>
    <x v="8"/>
    <s v="SC.PLA.LGS.11"/>
    <x v="1"/>
    <x v="0"/>
    <x v="4"/>
    <x v="8"/>
  </r>
  <r>
    <s v="SC"/>
    <n v="452"/>
    <s v="TR711475"/>
    <s v="TT711475"/>
    <s v="ROGER OLIVEIRA DE JESUS"/>
    <x v="8"/>
    <s v="SC.PLA.LGS.11"/>
    <x v="1"/>
    <x v="0"/>
    <x v="4"/>
    <x v="8"/>
  </r>
  <r>
    <s v="SC"/>
    <n v="44865"/>
    <s v="TR818779"/>
    <s v="TT821257"/>
    <s v="ISMEL ROSABALES CANIZARES"/>
    <x v="0"/>
    <s v="SC.SUL.CUA.11"/>
    <x v="1"/>
    <x v="0"/>
    <x v="4"/>
    <x v="8"/>
  </r>
  <r>
    <s v="SC"/>
    <n v="45677"/>
    <s v="TR018009"/>
    <s v="TT018009"/>
    <s v="JONAS SILVA NUNES"/>
    <x v="0"/>
    <s v="SC.SUL.CUA.11"/>
    <x v="1"/>
    <x v="0"/>
    <x v="4"/>
    <x v="8"/>
  </r>
  <r>
    <s v="SC"/>
    <n v="4468"/>
    <s v="TR500504"/>
    <s v="TT500504"/>
    <s v="JULIANO MACHADO MEDEIROS"/>
    <x v="0"/>
    <s v="SC.SUL.CUA.11"/>
    <x v="1"/>
    <x v="0"/>
    <x v="4"/>
    <x v="8"/>
  </r>
  <r>
    <s v="SC"/>
    <n v="4493"/>
    <s v="TR069683"/>
    <s v="TT820849"/>
    <s v="MAICON COLOMBO ZEFERINO"/>
    <x v="0"/>
    <s v="SC.SUL.CUA.11"/>
    <x v="1"/>
    <x v="0"/>
    <x v="4"/>
    <x v="8"/>
  </r>
  <r>
    <s v="SC"/>
    <n v="4516"/>
    <s v="TR069663"/>
    <s v="TT069663"/>
    <s v="ALEXANDRE DE SOUZA JOVINO"/>
    <x v="0"/>
    <s v="SC.SUL.TUB.11"/>
    <x v="1"/>
    <x v="0"/>
    <x v="4"/>
    <x v="8"/>
  </r>
  <r>
    <s v="SC"/>
    <n v="4543"/>
    <s v="TR729702"/>
    <s v="TT729702"/>
    <s v="ERITON CORREA"/>
    <x v="8"/>
    <s v="SC.PLA.LGS.11"/>
    <x v="1"/>
    <x v="0"/>
    <x v="4"/>
    <x v="8"/>
  </r>
  <r>
    <s v="SC"/>
    <n v="45522"/>
    <s v="TR819549"/>
    <s v="TT822649"/>
    <s v="JOSE ANTONIO MEDEIROS"/>
    <x v="0"/>
    <s v="SC.SUL.TUB.11"/>
    <x v="1"/>
    <x v="0"/>
    <x v="4"/>
    <x v="8"/>
  </r>
  <r>
    <s v="SC"/>
    <n v="0"/>
    <s v="TR520967"/>
    <s v="TT827900"/>
    <s v="LEONARDO NUNES MELEGARI"/>
    <x v="8"/>
    <s v="SC.PLA.LGS.11"/>
    <x v="1"/>
    <x v="0"/>
    <x v="4"/>
    <x v="8"/>
  </r>
  <r>
    <s v="SC"/>
    <n v="45326"/>
    <s v="TR729705"/>
    <s v="TT729705"/>
    <s v="PAULO SERGIO LIMA"/>
    <x v="8"/>
    <s v="SC.PLA.LGS.11"/>
    <x v="1"/>
    <x v="0"/>
    <x v="4"/>
    <x v="8"/>
  </r>
  <r>
    <s v="SC"/>
    <n v="0"/>
    <s v="TR818778"/>
    <s v="TT820850"/>
    <s v="ERIEL RODRIGUEZ GOMEZ"/>
    <x v="0"/>
    <s v="SC.SUL.YCA.11"/>
    <x v="1"/>
    <x v="0"/>
    <x v="4"/>
    <x v="8"/>
  </r>
  <r>
    <s v="SC"/>
    <n v="4532"/>
    <s v="TR535900"/>
    <s v="TT535900"/>
    <s v="ANDRE LUIS ALVES RANGEL"/>
    <x v="6"/>
    <s v="SC.VL1.BNU.11"/>
    <x v="1"/>
    <x v="0"/>
    <x v="4"/>
    <x v="8"/>
  </r>
  <r>
    <s v="SC"/>
    <n v="44635"/>
    <s v="TR747901"/>
    <s v="TT817563"/>
    <s v="CAIO BENJO REIS"/>
    <x v="6"/>
    <s v="SC.VL1.BNU.11"/>
    <x v="1"/>
    <x v="0"/>
    <x v="4"/>
    <x v="8"/>
  </r>
  <r>
    <s v="SC"/>
    <n v="4526"/>
    <s v="TR679747"/>
    <s v="TT679747"/>
    <s v="FREDERICO STUMPF"/>
    <x v="6"/>
    <s v="SC.VL1.BNU.11"/>
    <x v="1"/>
    <x v="0"/>
    <x v="4"/>
    <x v="8"/>
  </r>
  <r>
    <s v="SC"/>
    <n v="44638"/>
    <s v="TR817748"/>
    <s v="TT817614"/>
    <s v="HUGO SANTOS DALTRO"/>
    <x v="6"/>
    <s v="SC.VL1.BNU.11"/>
    <x v="1"/>
    <x v="0"/>
    <x v="4"/>
    <x v="8"/>
  </r>
  <r>
    <s v="SC"/>
    <n v="45318"/>
    <s v="TR709217"/>
    <s v="TT822850"/>
    <s v="MARCELO GOMES FREITAS"/>
    <x v="6"/>
    <s v="SC.VL1.BNU.11"/>
    <x v="1"/>
    <x v="0"/>
    <x v="4"/>
    <x v="8"/>
  </r>
  <r>
    <s v="SC"/>
    <n v="45221"/>
    <s v="TR645842"/>
    <s v="TT645842"/>
    <s v="MATEUS FERNANDES DE SOUZA"/>
    <x v="6"/>
    <s v="SC.VL1.BNU.11"/>
    <x v="1"/>
    <x v="0"/>
    <x v="4"/>
    <x v="8"/>
  </r>
  <r>
    <s v="SC"/>
    <n v="4598"/>
    <s v="TR738178"/>
    <s v="TT738178"/>
    <s v="THIAGO SCHUMANN BAMFI"/>
    <x v="6"/>
    <s v="SC.VL1.BNU.11"/>
    <x v="3"/>
    <x v="0"/>
    <x v="4"/>
    <x v="8"/>
  </r>
  <r>
    <s v="SC"/>
    <n v="45556"/>
    <s v="TR709235"/>
    <s v="TT824641"/>
    <s v="ANDERSON RODRIGO DA COSTA"/>
    <x v="6"/>
    <s v="SC.VL1.BNU.12"/>
    <x v="1"/>
    <x v="0"/>
    <x v="4"/>
    <x v="8"/>
  </r>
  <r>
    <s v="SC"/>
    <n v="45144"/>
    <s v="TR578775"/>
    <s v="TT578775"/>
    <s v="CLOVIS GOIS"/>
    <x v="6"/>
    <s v="SC.VL1.BNU.12"/>
    <x v="1"/>
    <x v="0"/>
    <x v="4"/>
    <x v="8"/>
  </r>
  <r>
    <s v="SC"/>
    <n v="4577"/>
    <s v="TR699694"/>
    <s v="TT699694"/>
    <s v="DAVID FERNANDES DOS SANTOS"/>
    <x v="6"/>
    <s v="SC.VL1.BNU.12"/>
    <x v="1"/>
    <x v="0"/>
    <x v="4"/>
    <x v="8"/>
  </r>
  <r>
    <s v="SC"/>
    <n v="45699"/>
    <s v="TR010661"/>
    <s v="TT010661"/>
    <s v="DOMENICO CISZ"/>
    <x v="6"/>
    <s v="SC.VL1.BNU.12"/>
    <x v="1"/>
    <x v="0"/>
    <x v="4"/>
    <x v="8"/>
  </r>
  <r>
    <s v="SC"/>
    <n v="4563"/>
    <s v="TR625056"/>
    <s v="TT625056"/>
    <s v="EDERSON PAZ CARRION"/>
    <x v="6"/>
    <s v="SC.VL1.BNU.11"/>
    <x v="1"/>
    <x v="0"/>
    <x v="4"/>
    <x v="8"/>
  </r>
  <r>
    <s v="SC"/>
    <n v="45317"/>
    <s v="TR819629"/>
    <s v="TT822847"/>
    <s v="EDUARDO DANIEL KUHNEN"/>
    <x v="6"/>
    <s v="SC.VL1.BNU.12"/>
    <x v="4"/>
    <x v="0"/>
    <x v="4"/>
    <x v="8"/>
  </r>
  <r>
    <s v="SC"/>
    <n v="4589"/>
    <s v="TR802948"/>
    <s v="TT802948"/>
    <s v="MARCOS ROBERTO CORREA DA SILVA"/>
    <x v="6"/>
    <s v="SC.VL1.BNU.12"/>
    <x v="1"/>
    <x v="0"/>
    <x v="4"/>
    <x v="8"/>
  </r>
  <r>
    <s v="SC"/>
    <n v="45423"/>
    <s v="TR682777"/>
    <s v="TT682777"/>
    <s v="RONALD RIBAS DE RIBAS"/>
    <x v="6"/>
    <s v="SC.VL1.BNU.12"/>
    <x v="1"/>
    <x v="0"/>
    <x v="4"/>
    <x v="8"/>
  </r>
  <r>
    <s v="SC"/>
    <n v="45211"/>
    <s v="TR800405"/>
    <s v="TT800405"/>
    <s v="THIAGO TONN"/>
    <x v="6"/>
    <s v="SC.VL1.BNU.12"/>
    <x v="1"/>
    <x v="0"/>
    <x v="4"/>
    <x v="8"/>
  </r>
  <r>
    <s v="SC"/>
    <n v="45515"/>
    <s v="TC004017"/>
    <s v="TT004017"/>
    <s v="ANDRE LUIZ LOPES DE SA"/>
    <x v="7"/>
    <s v="SC.NORTE.JVE.11"/>
    <x v="1"/>
    <x v="1"/>
    <x v="4"/>
    <x v="8"/>
  </r>
  <r>
    <s v="SC"/>
    <n v="4596"/>
    <s v="TR819007"/>
    <s v="TT821636"/>
    <s v="ANDRE ROLDAO"/>
    <x v="5"/>
    <s v="SC.NORTE.JVE.12"/>
    <x v="1"/>
    <x v="1"/>
    <x v="4"/>
    <x v="8"/>
  </r>
  <r>
    <s v="SC"/>
    <n v="45669"/>
    <s v="TR615873"/>
    <s v="TT615873"/>
    <s v="CARLOS ERICO DOS SANTOS SILVA"/>
    <x v="2"/>
    <s v="SC.VL1.BQE.11"/>
    <x v="1"/>
    <x v="0"/>
    <x v="4"/>
    <x v="8"/>
  </r>
  <r>
    <s v="SC"/>
    <n v="44954"/>
    <s v="TR514450"/>
    <s v="TT821607"/>
    <s v="FABIO GONCALVES DE ANDRADE"/>
    <x v="5"/>
    <s v="SC.NORTE.JVE.12"/>
    <x v="1"/>
    <x v="1"/>
    <x v="4"/>
    <x v="8"/>
  </r>
  <r>
    <s v="SC"/>
    <n v="45316"/>
    <s v="TR711572"/>
    <s v="TT711572"/>
    <s v="JEFFERSON LUIS RENGEL"/>
    <x v="2"/>
    <s v="SC.VL1.BQE.11"/>
    <x v="1"/>
    <x v="0"/>
    <x v="4"/>
    <x v="8"/>
  </r>
  <r>
    <s v="SC"/>
    <n v="45616"/>
    <s v="TR699710"/>
    <s v="TT699710"/>
    <s v="LUANDERSON CAZUMBA BARBOSA"/>
    <x v="2"/>
    <s v="SC.VL1.BQE.11"/>
    <x v="1"/>
    <x v="0"/>
    <x v="4"/>
    <x v="8"/>
  </r>
  <r>
    <s v="SC"/>
    <n v="45674"/>
    <s v="TR537408"/>
    <s v="TT537408"/>
    <s v="RAFAEL DE MENEZES PEREIRA"/>
    <x v="2"/>
    <s v="SC.VL1.BQE.11"/>
    <x v="1"/>
    <x v="0"/>
    <x v="4"/>
    <x v="8"/>
  </r>
  <r>
    <s v="SC"/>
    <n v="4574"/>
    <s v="TR615592"/>
    <s v="TT615592"/>
    <s v="RODRIGO BUGILA"/>
    <x v="2"/>
    <s v="SC.VL1.BQE.11"/>
    <x v="1"/>
    <x v="0"/>
    <x v="4"/>
    <x v="8"/>
  </r>
  <r>
    <s v="SC"/>
    <n v="45213"/>
    <s v="TR619042"/>
    <s v="TT619042"/>
    <s v="CARLOS ANTONIO POSSAMAI"/>
    <x v="6"/>
    <s v="SC.VL1.RSL.11"/>
    <x v="1"/>
    <x v="0"/>
    <x v="4"/>
    <x v="8"/>
  </r>
  <r>
    <s v="SC"/>
    <n v="4495"/>
    <s v="TR680326"/>
    <s v="TT680326"/>
    <s v="ADRIANO CARLOS DE OLIVEIRA BARBOSA"/>
    <x v="2"/>
    <s v="SC.VL2.IAI.11"/>
    <x v="1"/>
    <x v="1"/>
    <x v="4"/>
    <x v="8"/>
  </r>
  <r>
    <s v="SC"/>
    <n v="4571"/>
    <s v="TR597558"/>
    <s v="TT597558"/>
    <s v="AMAURI FRANCISCO CARDOZO"/>
    <x v="2"/>
    <s v="SC.VL2.IAI.11"/>
    <x v="1"/>
    <x v="1"/>
    <x v="4"/>
    <x v="8"/>
  </r>
  <r>
    <s v="SC"/>
    <n v="44866"/>
    <s v="TR699705"/>
    <s v="TT699705"/>
    <s v="JEAN FRANCISCO FRANCO DE CAMARGO"/>
    <x v="2"/>
    <s v="SC.VL2.IAI.11"/>
    <x v="1"/>
    <x v="1"/>
    <x v="4"/>
    <x v="8"/>
  </r>
  <r>
    <s v="SC"/>
    <n v="45671"/>
    <s v="TR687181"/>
    <s v="TT687181"/>
    <s v="MAYCON PASSOS DA SILVA ROSA"/>
    <x v="2"/>
    <s v="SC.VL2.IAI.11"/>
    <x v="1"/>
    <x v="1"/>
    <x v="4"/>
    <x v="8"/>
  </r>
  <r>
    <s v="SC"/>
    <n v="4546"/>
    <s v="TR819746"/>
    <s v="TT823272"/>
    <s v="TIAGO FELIPE SOUZA SANTOS MAGNO"/>
    <x v="2"/>
    <s v="SC.VL2.IAI.11"/>
    <x v="1"/>
    <x v="1"/>
    <x v="4"/>
    <x v="8"/>
  </r>
  <r>
    <s v="SC"/>
    <n v="447"/>
    <s v="TR818218"/>
    <s v="TT819046"/>
    <s v="VINICIUS DE SOUZA"/>
    <x v="2"/>
    <s v="SC.VL2.BCU.11"/>
    <x v="1"/>
    <x v="1"/>
    <x v="4"/>
    <x v="8"/>
  </r>
  <r>
    <s v="SC"/>
    <n v="4544"/>
    <s v="TR819751"/>
    <s v="TT823285"/>
    <s v="WELITON BATISTA MELO"/>
    <x v="2"/>
    <s v="SC.VL2.IAI.11"/>
    <x v="1"/>
    <x v="1"/>
    <x v="4"/>
    <x v="8"/>
  </r>
  <r>
    <s v="SC"/>
    <n v="45212"/>
    <s v="TR632093"/>
    <s v="TT632093"/>
    <s v="WILLIAMS JOSE SILVA DOS SANTOS"/>
    <x v="5"/>
    <s v="SC.NORTE.JVE.12"/>
    <x v="1"/>
    <x v="1"/>
    <x v="4"/>
    <x v="8"/>
  </r>
  <r>
    <s v="SC"/>
    <n v="44957"/>
    <s v="TR804338"/>
    <s v="TT804338"/>
    <s v="ALEXANDRE WILLIAN DE SOUZA"/>
    <x v="4"/>
    <s v="SC.VL2.IAI.12"/>
    <x v="1"/>
    <x v="1"/>
    <x v="4"/>
    <x v="8"/>
  </r>
  <r>
    <s v="SC"/>
    <n v="45473"/>
    <s v="TR820150"/>
    <s v="TT823882"/>
    <s v="DANIEL FIGUEIREDO NEVES"/>
    <x v="4"/>
    <s v="SC.VL2.IAI.12"/>
    <x v="1"/>
    <x v="1"/>
    <x v="4"/>
    <x v="8"/>
  </r>
  <r>
    <s v="SC"/>
    <n v="45498"/>
    <s v="TR705853"/>
    <s v="TT705853"/>
    <s v="EDIVAN GUIMARAES DA SILVA NETO"/>
    <x v="4"/>
    <s v="SC.VL2.IAI.12"/>
    <x v="1"/>
    <x v="1"/>
    <x v="4"/>
    <x v="8"/>
  </r>
  <r>
    <s v="SC"/>
    <n v="45354"/>
    <s v="TR800399"/>
    <s v="TT800399"/>
    <s v="JEFRI AYRES DA CRUZ"/>
    <x v="4"/>
    <s v="SC.VL2.IAI.12"/>
    <x v="1"/>
    <x v="1"/>
    <x v="4"/>
    <x v="8"/>
  </r>
  <r>
    <s v="SC"/>
    <n v="45673"/>
    <s v="TR003453"/>
    <s v="TT003453"/>
    <s v="MARCOS VENICIO BERNARDES"/>
    <x v="2"/>
    <s v="SC.VL2.IAI.11"/>
    <x v="1"/>
    <x v="1"/>
    <x v="4"/>
    <x v="8"/>
  </r>
  <r>
    <s v="SC"/>
    <n v="45159"/>
    <s v="TR789238"/>
    <s v="TT789238"/>
    <s v="OTO RENATO DO PRADO"/>
    <x v="5"/>
    <s v="SC.NORTE.JVE.12"/>
    <x v="1"/>
    <x v="1"/>
    <x v="4"/>
    <x v="8"/>
  </r>
  <r>
    <s v="SC"/>
    <n v="45392"/>
    <s v="TR750221"/>
    <s v="TT750221"/>
    <s v="WANDERLEI FIGUEIREDO NEVES"/>
    <x v="4"/>
    <s v="SC.VL2.IAI.12"/>
    <x v="1"/>
    <x v="1"/>
    <x v="4"/>
    <x v="8"/>
  </r>
  <r>
    <s v="SC"/>
    <n v="45429"/>
    <s v="TR597559"/>
    <s v="TT597559"/>
    <s v="ANDERSON RODRIGUES CHAGAS"/>
    <x v="4"/>
    <s v="SC.VL2.NVG.11"/>
    <x v="1"/>
    <x v="1"/>
    <x v="4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s v="SC"/>
    <s v="TR537702"/>
    <s v="TT826817"/>
    <s v="EVELTON AMARAL DOS SANTOS"/>
    <s v="TÉCNICO MULTIFUNCIONAL"/>
    <x v="0"/>
    <s v="CARLOS ROGERIO DA SILVA"/>
    <x v="0"/>
    <s v="SC.VL2.BCU.11"/>
    <x v="0"/>
    <m/>
    <m/>
    <x v="0"/>
    <m/>
    <m/>
    <m/>
    <s v="NIO | TIM"/>
    <m/>
    <s v="JUNIOMAR MOCHNACZ"/>
    <s v="RIO DO SUL"/>
    <s v="Tim"/>
    <s v="Não"/>
    <m/>
  </r>
  <r>
    <s v="SC"/>
    <s v="TR386095"/>
    <s v="TT386095"/>
    <s v="CRISTIANO GROSSKOPF"/>
    <s v="TÉCNICO MULTIFUNCIONAL"/>
    <x v="1"/>
    <s v="CARLOS ROGERIO DA SILVA"/>
    <x v="1"/>
    <s v="SC.VL2.IAI.12"/>
    <x v="0"/>
    <m/>
    <m/>
    <x v="1"/>
    <m/>
    <m/>
    <m/>
    <s v="NIO | TIM"/>
    <m/>
    <s v="JUNIOMAR MOCHNACZ"/>
    <s v="ITAJAI"/>
    <s v="Tim"/>
    <s v="Sim"/>
    <m/>
  </r>
  <r>
    <s v="SC"/>
    <s v="TR003453"/>
    <s v="TT003453"/>
    <s v="MARCOS VENICIO BERNARDES"/>
    <s v="TÉCNICO MULTIFUNCIONAL"/>
    <x v="1"/>
    <s v="CARLOS ROGERIO DA SILVA"/>
    <x v="1"/>
    <s v="SC.VL2.IAI.12"/>
    <x v="0"/>
    <m/>
    <m/>
    <x v="1"/>
    <m/>
    <m/>
    <m/>
    <s v="NIO"/>
    <m/>
    <s v="JUNIOMAR MOCHNACZ"/>
    <s v="ITAJAI"/>
    <s v="Nio"/>
    <s v="Não"/>
    <m/>
  </r>
  <r>
    <s v="SC"/>
    <s v="TR750221"/>
    <s v="TT750221"/>
    <s v="WANDERLEI FIGUEIREDO NEVES"/>
    <s v="TÉCNICO MULTIFUNCIONAL"/>
    <x v="1"/>
    <s v="CARLOS ROGERIO DA SILVA"/>
    <x v="1"/>
    <s v="SC.VL2.IAI.12"/>
    <x v="1"/>
    <m/>
    <m/>
    <x v="1"/>
    <m/>
    <m/>
    <m/>
    <s v="NIO"/>
    <m/>
    <s v="JUNIOMAR MOCHNACZ"/>
    <s v="ITAJAI"/>
    <s v="Tim"/>
    <s v="Sim"/>
    <m/>
  </r>
  <r>
    <s v="SC"/>
    <s v="TR804338"/>
    <s v="TT804338"/>
    <s v="ALEXANDRE WILLIAN DE SOUZA"/>
    <s v="TÉCNICO MULTIFUNCIONAL"/>
    <x v="2"/>
    <s v="CARLOS ROGERIO DA SILVA"/>
    <x v="1"/>
    <s v="SC.VL2.IAI.12"/>
    <x v="2"/>
    <m/>
    <m/>
    <x v="2"/>
    <m/>
    <m/>
    <m/>
    <s v="TIM | CP"/>
    <m/>
    <s v="JUNIOMAR MOCHNACZ"/>
    <s v="ITAJAI"/>
    <s v="Tim"/>
    <s v="Sim"/>
    <m/>
  </r>
  <r>
    <s v="SC"/>
    <s v="TR705853"/>
    <s v="TT705853"/>
    <s v="EDIVAN GUIMARAES DA SILVA NETO"/>
    <s v="TÉCNICO MULTIFUNCIONAL"/>
    <x v="0"/>
    <s v="CARLOS ROGERIO DA SILVA"/>
    <x v="1"/>
    <s v="SC.VL2.IAI.12"/>
    <x v="2"/>
    <m/>
    <m/>
    <x v="0"/>
    <m/>
    <m/>
    <m/>
    <s v="NIO | TIM | CP"/>
    <m/>
    <s v="JUNIOMAR MOCHNACZ"/>
    <s v="ITAJAI"/>
    <s v="Nio"/>
    <s v="Não"/>
    <m/>
  </r>
  <r>
    <s v="SC"/>
    <s v="TR800399"/>
    <s v="TT800399"/>
    <s v="JEFRI AYRES DA CRUZ"/>
    <s v="TÉCNICO MULTIFUNCIONAL"/>
    <x v="1"/>
    <s v="CARLOS ROGERIO DA SILVA"/>
    <x v="1"/>
    <s v="SC.VL2.IAI.12"/>
    <x v="2"/>
    <m/>
    <m/>
    <x v="1"/>
    <m/>
    <m/>
    <m/>
    <s v="NIO | TIM"/>
    <m/>
    <s v="JUNIOMAR MOCHNACZ"/>
    <s v="ITAJAI"/>
    <s v="Tim"/>
    <s v="Sim"/>
    <m/>
  </r>
  <r>
    <s v="SC"/>
    <s v="TR820009"/>
    <s v="TT823770"/>
    <s v="MATHEUS ABILIO DA COSTA BOGA"/>
    <s v="TÉCNICO MULTIFUNCIONAL"/>
    <x v="0"/>
    <s v="CARLOS ROGERIO DA SILVA"/>
    <x v="1"/>
    <s v="SC.VL2.IAI.12"/>
    <x v="2"/>
    <m/>
    <m/>
    <x v="0"/>
    <d v="2026-03-30T00:00:00"/>
    <d v="2026-04-01T00:00:00"/>
    <m/>
    <s v="NIO | TIM | CP"/>
    <m/>
    <s v="JUNIOMAR MOCHNACZ"/>
    <s v="ITAJAI"/>
    <s v="Tim"/>
    <s v="Sim"/>
    <m/>
  </r>
  <r>
    <s v="SC"/>
    <s v="TR597559"/>
    <s v="TT597559"/>
    <s v="ANDERSON RODRIGUES CHAGAS"/>
    <s v="TÉCNICO MULTIFUNCIONAL"/>
    <x v="0"/>
    <s v="CARLOS ROGERIO DA SILVA"/>
    <x v="2"/>
    <s v="SC.VL2.NVG.11"/>
    <x v="2"/>
    <m/>
    <m/>
    <x v="0"/>
    <m/>
    <m/>
    <m/>
    <s v="NIO | TIM | CP"/>
    <m/>
    <s v="JUNIOMAR MOCHNACZ"/>
    <s v="NAVEGANTES"/>
    <s v="Tim"/>
    <s v="Sim"/>
    <m/>
  </r>
  <r>
    <s v="SC"/>
    <s v="TR549443"/>
    <s v="TT549443"/>
    <s v="MARCELO ALVES CUSTODIO"/>
    <s v="TÉCNICO MULTIFUNCIONAL"/>
    <x v="0"/>
    <s v="CARLOS ROGERIO DA SILVA"/>
    <x v="2"/>
    <s v="SC.VL2.NVG.11"/>
    <x v="0"/>
    <m/>
    <m/>
    <x v="0"/>
    <m/>
    <m/>
    <m/>
    <s v="NIO | TIM"/>
    <m/>
    <s v="JUNIOMAR MOCHNACZ"/>
    <s v="NAVEGANTES"/>
    <s v="Nio"/>
    <s v="Não"/>
    <m/>
  </r>
  <r>
    <s v="SC"/>
    <s v="TR820150"/>
    <s v="TT823882"/>
    <s v="DANIEL FIGUEIREDO NEVES"/>
    <s v="TÉCNICO MULTIFUNCIONAL"/>
    <x v="0"/>
    <s v="CARLOS ROGERIO DA SILVA"/>
    <x v="1"/>
    <s v="SC.VL2.IAI.12"/>
    <x v="2"/>
    <m/>
    <m/>
    <x v="0"/>
    <m/>
    <m/>
    <m/>
    <s v="NIO | TIM"/>
    <m/>
    <s v="JUNIOMAR MOCHNACZ"/>
    <s v="ITAJAI"/>
    <s v="Tim"/>
    <s v="Sim"/>
    <m/>
  </r>
  <r>
    <s v="SC"/>
    <s v="TR775911"/>
    <s v="TT775911"/>
    <s v="PABLO RIBEIRO DA SILVA"/>
    <s v="TÉCNICO MULTIFUNCIONAL"/>
    <x v="1"/>
    <s v="CARLOS ROGERIO DA SILVA"/>
    <x v="2"/>
    <s v="SC.VL2.IAI.12"/>
    <x v="0"/>
    <m/>
    <m/>
    <x v="1"/>
    <m/>
    <m/>
    <m/>
    <s v="NIO"/>
    <m/>
    <s v="JUNIOMAR MOCHNACZ"/>
    <s v="NAVEGANTES"/>
    <s v="Nio"/>
    <s v="Não"/>
    <m/>
  </r>
  <r>
    <s v="SC"/>
    <s v="TR810966"/>
    <s v="TT811185"/>
    <s v="CHRISTIAN NUNES MACHADO"/>
    <s v="TÉCNICO MULTIFUNCIONAL"/>
    <x v="0"/>
    <s v="CASSIO RICARDO FERNANDES AVILA"/>
    <x v="3"/>
    <s v="SC.LESTE.PAC.11"/>
    <x v="0"/>
    <m/>
    <m/>
    <x v="0"/>
    <m/>
    <m/>
    <m/>
    <s v="NIO | TIM | CP"/>
    <m/>
    <s v="MAURI DUTRA"/>
    <s v="PALHOCA"/>
    <s v="Tim"/>
    <s v="Sim"/>
    <m/>
  </r>
  <r>
    <s v="SC"/>
    <s v="TR750220"/>
    <s v="TT750220"/>
    <s v="TUAN LOPES FAGUNDES PEREIRA"/>
    <s v="TÉCNICO MULTIFUNCIONAL"/>
    <x v="0"/>
    <s v="CASSIO RICARDO FERNANDES AVILA"/>
    <x v="3"/>
    <s v="SC.LESTE.PAC.11"/>
    <x v="0"/>
    <m/>
    <m/>
    <x v="0"/>
    <m/>
    <m/>
    <m/>
    <s v="NIO | TIM | CP"/>
    <m/>
    <s v="MAURI DUTRA"/>
    <s v="FLORIANOPOLIS"/>
    <s v="Nio"/>
    <s v="Não"/>
    <m/>
  </r>
  <r>
    <s v="SC"/>
    <s v="TR810536"/>
    <s v="TT810916"/>
    <s v="CRISTIANO SOARES COELHO"/>
    <s v="TÉCNICO MULTIFUNCIONAL"/>
    <x v="1"/>
    <s v="CASSIO RICARDO FERNANDES AVILA"/>
    <x v="3"/>
    <s v="SC.LESTE.PAC.11"/>
    <x v="2"/>
    <m/>
    <m/>
    <x v="1"/>
    <m/>
    <m/>
    <s v="TECNICO CHEGA DIA 23/03 SC"/>
    <s v="NIO | TIM | CP"/>
    <m/>
    <s v="MAURI DUTRA"/>
    <s v="PALHOÇA"/>
    <s v="Nio"/>
    <s v="Não"/>
    <m/>
  </r>
  <r>
    <s v="SC"/>
    <s v="TR790154"/>
    <s v="TT790154"/>
    <s v="FABIO DE SOUZA BARBOSA"/>
    <s v="TÉCNICO MULTIFUNCIONAL"/>
    <x v="1"/>
    <s v="CASSIO RICARDO FERNANDES AVILA"/>
    <x v="3"/>
    <s v="SC.LESTE.PAC.11"/>
    <x v="2"/>
    <m/>
    <m/>
    <x v="1"/>
    <m/>
    <m/>
    <m/>
    <s v="NIO | TIM | CP"/>
    <m/>
    <s v="MAURI DUTRA"/>
    <s v="SAO JOSE"/>
    <s v="Nio"/>
    <s v="Não"/>
    <m/>
  </r>
  <r>
    <s v="SC"/>
    <s v="TR525780"/>
    <s v="TT828845"/>
    <s v="CARLOS RODRIGO DE SOUZA"/>
    <s v="TÉCNICO MULTIFUNCIONAL"/>
    <x v="0"/>
    <s v="CASSIO RICARDO FERNANDES AVILA"/>
    <x v="4"/>
    <s v="SC.LESTE.SOO.11"/>
    <x v="0"/>
    <m/>
    <m/>
    <x v="0"/>
    <m/>
    <m/>
    <m/>
    <s v="NIO | TIM"/>
    <m/>
    <s v="MAURI DUTRA"/>
    <s v="SAO JOSE"/>
    <s v="Tim"/>
    <s v="Sim"/>
    <m/>
  </r>
  <r>
    <s v="SC"/>
    <n v="2"/>
    <s v="TT829508"/>
    <s v="ALESSANDRO AMARAL DA CONCEICAO"/>
    <s v="TÉCNICO MULTIFUNCIONAL"/>
    <x v="1"/>
    <s v="CASSIO RICARDO FERNANDES AVILA"/>
    <x v="4"/>
    <s v="SC.LESTE.SOO.11"/>
    <x v="2"/>
    <m/>
    <m/>
    <x v="1"/>
    <m/>
    <m/>
    <m/>
    <s v="NIO | TIM"/>
    <m/>
    <s v="MAURI DUTRA"/>
    <s v="PALHOCA"/>
    <s v="Nio"/>
    <s v="Não"/>
    <m/>
  </r>
  <r>
    <s v="SC"/>
    <s v="TR818957"/>
    <s v="TT821513"/>
    <s v="GABRIEL PEREIRA SALAZAR"/>
    <s v="TÉCNICO MULTIFUNCIONAL"/>
    <x v="0"/>
    <s v="CASSIO RICARDO FERNANDES AVILA"/>
    <x v="4"/>
    <s v="SC.LESTE.SOO.11"/>
    <x v="0"/>
    <m/>
    <m/>
    <x v="0"/>
    <m/>
    <m/>
    <m/>
    <s v="TIM | CP"/>
    <m/>
    <s v="MAURI DUTRA"/>
    <s v="SAO JOSE"/>
    <s v="Nio"/>
    <s v="Não"/>
    <m/>
  </r>
  <r>
    <s v="SC"/>
    <s v="TR819188"/>
    <s v="TT822112"/>
    <s v="GUSTAVO CLAUDIONOR SOARES"/>
    <s v="TÉCNICO MULTIFUNCIONAL"/>
    <x v="0"/>
    <s v="CASSIO RICARDO FERNANDES AVILA"/>
    <x v="4"/>
    <s v="SC.LESTE.SOO.11"/>
    <x v="2"/>
    <m/>
    <m/>
    <x v="0"/>
    <m/>
    <m/>
    <m/>
    <s v="NIO | TIM | CP"/>
    <m/>
    <s v="MAURI DUTRA"/>
    <s v="SAO JOSE"/>
    <s v="Tim"/>
    <s v="Sim"/>
    <m/>
  </r>
  <r>
    <s v="SC"/>
    <s v="TR798959"/>
    <s v="TT798959"/>
    <s v="IGOR SANTOS DA SILVA"/>
    <s v="TÉCNICO MULTIFUNCIONAL"/>
    <x v="0"/>
    <s v="CASSIO RICARDO FERNANDES AVILA"/>
    <x v="4"/>
    <s v="SC.LESTE.SOO.11"/>
    <x v="2"/>
    <m/>
    <m/>
    <x v="0"/>
    <m/>
    <m/>
    <m/>
    <s v="NIO | TIM | CP"/>
    <m/>
    <s v="MAURI DUTRA"/>
    <s v="SAO JOSE"/>
    <s v="Nio"/>
    <s v="Não"/>
    <m/>
  </r>
  <r>
    <s v="SC"/>
    <s v="TR789652"/>
    <s v="TT789652"/>
    <s v="JOSE LUIZ NERE GOMES FILHO"/>
    <s v="TÉCNICO MULTIFUNCIONAL"/>
    <x v="1"/>
    <s v="CASSIO RICARDO FERNANDES AVILA"/>
    <x v="4"/>
    <s v="SC.LESTE.SOO.11"/>
    <x v="2"/>
    <m/>
    <m/>
    <x v="1"/>
    <m/>
    <m/>
    <m/>
    <s v="TIM | CP"/>
    <m/>
    <s v="MAURI DUTRA"/>
    <s v="SAO JOSE"/>
    <s v="Tim"/>
    <s v="Sim"/>
    <m/>
  </r>
  <r>
    <s v="SC"/>
    <s v="TR695590"/>
    <s v="TT695590"/>
    <s v="LEONARD DAUM CARRASCO"/>
    <s v="TÉCNICO MULTIFUNCIONAL"/>
    <x v="1"/>
    <s v="CASSIO RICARDO FERNANDES AVILA"/>
    <x v="4"/>
    <s v="SC.LESTE.SOO.11"/>
    <x v="0"/>
    <m/>
    <m/>
    <x v="1"/>
    <m/>
    <m/>
    <m/>
    <s v="NIO"/>
    <m/>
    <s v="MAURI DUTRA"/>
    <s v="PALHOCA"/>
    <s v="Tim"/>
    <s v="Sim"/>
    <m/>
  </r>
  <r>
    <s v="SC"/>
    <s v=" TR628392"/>
    <s v="TT829089"/>
    <s v="MAIKON TEODORO"/>
    <s v="TÉCNICO MULTIFUNCIONAL"/>
    <x v="0"/>
    <s v="CASSIO RICARDO FERNANDES AVILA"/>
    <x v="3"/>
    <s v="SC.LESTE.PAC.11"/>
    <x v="1"/>
    <m/>
    <m/>
    <x v="0"/>
    <m/>
    <m/>
    <m/>
    <s v="NIO | TIM"/>
    <m/>
    <s v="MAURI DUTRA"/>
    <s v="SAO JOSE"/>
    <s v="Tim"/>
    <s v="Sim"/>
    <m/>
  </r>
  <r>
    <s v="SC"/>
    <s v="TT720812"/>
    <s v="TT720812"/>
    <s v="PABLO JAHN ALVES"/>
    <s v="TÉCNICO MULTIFUNCIONAL"/>
    <x v="0"/>
    <s v="CASSIO RICARDO FERNANDES AVILA"/>
    <x v="4"/>
    <s v="SC.LESTE.SOO.11"/>
    <x v="2"/>
    <m/>
    <m/>
    <x v="0"/>
    <m/>
    <m/>
    <s v="problema sistema"/>
    <s v="NIO | TIM"/>
    <m/>
    <s v="MAURI DUTRA"/>
    <s v="SAO JOSE"/>
    <s v="Nio"/>
    <s v="Não"/>
    <m/>
  </r>
  <r>
    <s v="SC"/>
    <s v="TR818779"/>
    <s v="TT821257"/>
    <s v="ISMEL ROSABALES CANIZARES"/>
    <s v="TÉCNICO MULTIFUNCIONAL"/>
    <x v="0"/>
    <s v="CASSIO RICARDO FERNANDES AVILA"/>
    <x v="5"/>
    <s v="SC.SUL.CUA.11"/>
    <x v="0"/>
    <m/>
    <m/>
    <x v="0"/>
    <m/>
    <m/>
    <m/>
    <s v="NIO | TIM | CP"/>
    <m/>
    <s v="MAURI DUTRA"/>
    <s v="CRICIUMA"/>
    <s v="Tim"/>
    <s v="Não"/>
    <m/>
  </r>
  <r>
    <s v="SC"/>
    <s v="TR500504"/>
    <s v="TT500504"/>
    <s v="JULIANO MACHADO MEDEIROS"/>
    <s v="TÉCNICO MULTIFUNCIONAL"/>
    <x v="1"/>
    <s v="CASSIO RICARDO FERNANDES AVILA"/>
    <x v="5"/>
    <s v="SC.SUL.CUA.11"/>
    <x v="2"/>
    <m/>
    <m/>
    <x v="1"/>
    <m/>
    <m/>
    <s v="Veiculo deu problema no Plantão 14/03"/>
    <s v="NIO | TIM | CP"/>
    <m/>
    <s v="MAURI DUTRA"/>
    <s v="CRICIUMA"/>
    <s v="Nio"/>
    <s v="Não"/>
    <m/>
  </r>
  <r>
    <s v="SC"/>
    <s v="TR069683"/>
    <s v="TT820851"/>
    <s v="MAICON COLOMBO ZEFERINO"/>
    <s v="TÉCNICO MULTIFUNCIONAL"/>
    <x v="0"/>
    <s v="CASSIO RICARDO FERNANDES AVILA"/>
    <x v="5"/>
    <s v="SC.SUL.CUA.11"/>
    <x v="0"/>
    <m/>
    <m/>
    <x v="0"/>
    <m/>
    <m/>
    <m/>
    <s v="NIO | TIM | CP"/>
    <m/>
    <s v="MAURI DUTRA"/>
    <s v="CRICIUMA"/>
    <s v="Tim"/>
    <s v="Sim"/>
    <m/>
  </r>
  <r>
    <s v="SC"/>
    <s v="TR134058"/>
    <s v="TT134058"/>
    <s v="VALDIRAN DA SILVA LEITE"/>
    <s v="TÉCNICO MULTIFUNCIONAL"/>
    <x v="0"/>
    <s v="CASSIO RICARDO FERNANDES AVILA"/>
    <x v="5"/>
    <s v="SC.SUL.CUA.11"/>
    <x v="2"/>
    <m/>
    <m/>
    <x v="0"/>
    <m/>
    <m/>
    <s v="VERIFICAR"/>
    <s v="NIO | TIM"/>
    <m/>
    <s v="MAURI DUTRA"/>
    <s v="CRICIUMA"/>
    <s v="Tim"/>
    <s v="Sim"/>
    <m/>
  </r>
  <r>
    <s v="SC"/>
    <s v="TR819549"/>
    <s v="TT822649"/>
    <s v="JOSE ANTONIO MEDEIROS"/>
    <s v="TÉCNICO MULTIFUNCIONAL"/>
    <x v="0"/>
    <s v="CASSIO RICARDO FERNANDES AVILA"/>
    <x v="6"/>
    <s v="SC.SUL.TUB.11"/>
    <x v="0"/>
    <m/>
    <m/>
    <x v="0"/>
    <m/>
    <m/>
    <m/>
    <s v="NIO | TIM | CP"/>
    <m/>
    <s v="MAURI DUTRA"/>
    <s v="LAGES"/>
    <s v="Nio"/>
    <s v="Não"/>
    <m/>
  </r>
  <r>
    <s v="SC"/>
    <s v="TR069663"/>
    <s v="TT069663"/>
    <s v="ALEXANDRE DE SOUZA JOVINO"/>
    <s v="TÉCNICO MULTIFUNCIONAL"/>
    <x v="0"/>
    <s v="CASSIO RICARDO FERNANDES AVILA"/>
    <x v="6"/>
    <s v="SC.SUL.TUB.11"/>
    <x v="2"/>
    <m/>
    <m/>
    <x v="0"/>
    <m/>
    <m/>
    <m/>
    <s v="NIO | TIM | CP"/>
    <m/>
    <s v="MAURI DUTRA"/>
    <s v="TUBARAO"/>
    <s v="Tim"/>
    <s v="Sim"/>
    <m/>
  </r>
  <r>
    <s v="SC"/>
    <s v="TR818778"/>
    <s v="TT820850"/>
    <s v="ERIEL RODRIGUES GOMEZ"/>
    <s v="TÉCNICO MULTIFUNCIONAL"/>
    <x v="0"/>
    <s v="CASSIO RICARDO FERNANDES AVILA"/>
    <x v="7"/>
    <s v="SC.SUL.YCA.11"/>
    <x v="0"/>
    <m/>
    <m/>
    <x v="0"/>
    <m/>
    <m/>
    <m/>
    <s v="NIO | TIM | CP"/>
    <m/>
    <s v="MAURI DUTRA"/>
    <s v="CRICIUMA"/>
    <s v="Nio"/>
    <s v="Não"/>
    <m/>
  </r>
  <r>
    <s v="SC"/>
    <s v="TR134056"/>
    <s v="TT134056"/>
    <s v="RANGEL DA SILVA PATRICIO"/>
    <s v="TECNICO DE DADOS 2"/>
    <x v="1"/>
    <s v="CASSIO RICARDO FERNANDES AVILA"/>
    <x v="6"/>
    <s v="SC.SUL.TUB.11"/>
    <x v="3"/>
    <s v="Técnico de Dados"/>
    <s v="Baixa"/>
    <x v="1"/>
    <m/>
    <m/>
    <m/>
    <s v="NIO"/>
    <m/>
    <s v="JUNIOMAR MOCHNACZ"/>
    <s v="TUBARAO"/>
    <s v="Tim"/>
    <s v="Sim"/>
    <m/>
  </r>
  <r>
    <s v="SC"/>
    <s v="TR018009"/>
    <s v="TT018009"/>
    <s v="JONAS SILVA NUNES"/>
    <s v="TÉCNICO MULTIFUNCIONAL"/>
    <x v="0"/>
    <s v="CASSIO RICARDO FERNANDES AVILA"/>
    <x v="5"/>
    <s v="SC.SUL.CUA.11"/>
    <x v="2"/>
    <m/>
    <m/>
    <x v="0"/>
    <m/>
    <m/>
    <m/>
    <s v="NIO | TIM"/>
    <m/>
    <s v="MAURI DUTRA"/>
    <s v="CRICIUMA"/>
    <s v="Nio"/>
    <s v="Não"/>
    <m/>
  </r>
  <r>
    <s v="SC"/>
    <s v="TR794904"/>
    <s v="TT794904"/>
    <s v="GIOVANI DA SILVA ANTUNES"/>
    <s v="TÉCNICO MULTIFUNCIONAL"/>
    <x v="0"/>
    <s v="CASSIO RICARDO FERNANDES AVILA"/>
    <x v="3"/>
    <s v="SC.LESTE.PAC.11"/>
    <x v="0"/>
    <m/>
    <m/>
    <x v="0"/>
    <d v="2026-04-02T00:00:00"/>
    <m/>
    <m/>
    <s v="NIO | TIM | CP"/>
    <m/>
    <s v="MAURI DUTRA"/>
    <s v="FLORIANOPOLIS"/>
    <s v="Nio"/>
    <s v="Não"/>
    <m/>
  </r>
  <r>
    <s v="SC"/>
    <s v="TC004017"/>
    <s v="TT004017"/>
    <s v="ANDRE LUIZ LOPES DE SA"/>
    <s v="TÉCNICO MULTIFUNCIONAL"/>
    <x v="0"/>
    <s v="DANIEL OLIVEIRA"/>
    <x v="8"/>
    <s v="SC.NORTE.JVE.11"/>
    <x v="0"/>
    <m/>
    <m/>
    <x v="0"/>
    <m/>
    <m/>
    <m/>
    <s v="NIO | TIM"/>
    <m/>
    <s v="JUNIOMAR MOCHNACZ"/>
    <s v="BLUMENAU"/>
    <s v="Tim"/>
    <s v="Sim"/>
    <m/>
  </r>
  <r>
    <s v="SC"/>
    <s v="TR817132"/>
    <s v="TT821514"/>
    <s v="GUILHERME COSTA MOREIRA"/>
    <s v="TÉCNICO MULTIFUNCIONAL"/>
    <x v="0"/>
    <s v="DANIEL OLIVEIRA"/>
    <x v="8"/>
    <s v="SC.NORTE.JVE.11"/>
    <x v="0"/>
    <m/>
    <m/>
    <x v="0"/>
    <m/>
    <m/>
    <m/>
    <s v="NIO"/>
    <m/>
    <s v="JUNIOMAR MOCHNACZ"/>
    <s v="JOINVILLE"/>
    <s v="Nio"/>
    <s v="Não"/>
    <m/>
  </r>
  <r>
    <s v="SC"/>
    <s v="TR687140"/>
    <s v="TT687140"/>
    <s v="ARLEN VALDIR ZUCHO"/>
    <s v="TÉCNICO MULTIFUNCIONAL"/>
    <x v="0"/>
    <s v="DANIEL OLIVEIRA"/>
    <x v="8"/>
    <s v="SC.NORTE.JVE.11"/>
    <x v="2"/>
    <m/>
    <m/>
    <x v="0"/>
    <m/>
    <m/>
    <m/>
    <s v="TIM | CP"/>
    <m/>
    <s v="JUNIOMAR MOCHNACZ"/>
    <s v="JOINVILLE"/>
    <s v="Nio"/>
    <s v="Não"/>
    <m/>
  </r>
  <r>
    <s v="SC"/>
    <s v="TR801349"/>
    <s v="TT801349"/>
    <s v="BRENO DA SILVA CRUZ"/>
    <s v="TÉCNICO MULTIFUNCIONAL"/>
    <x v="0"/>
    <s v="DANIEL OLIVEIRA"/>
    <x v="8"/>
    <s v="SC.NORTE.JVE.11"/>
    <x v="2"/>
    <m/>
    <m/>
    <x v="0"/>
    <m/>
    <m/>
    <s v="Solicitao apoio ao Tosin, 3 REQ Aberta de"/>
    <s v="NIO | TIM"/>
    <m/>
    <s v="JUNIOMAR MOCHNACZ"/>
    <s v="JOINVILLE"/>
    <s v="Tim"/>
    <s v="Sim"/>
    <m/>
  </r>
  <r>
    <s v="SC"/>
    <s v="TR540153"/>
    <s v="TT540153"/>
    <s v="IGOR LUCAS RUCHINSKI"/>
    <s v="TÉCNICO MULTIFUNCIONAL"/>
    <x v="1"/>
    <s v="DANIEL OLIVEIRA"/>
    <x v="8"/>
    <s v="SC.NORTE.JVE.11"/>
    <x v="0"/>
    <m/>
    <m/>
    <x v="1"/>
    <m/>
    <m/>
    <s v="Plantão até 12h"/>
    <s v="TIM"/>
    <m/>
    <s v="JUNIOMAR MOCHNACZ"/>
    <s v="ITAJAI"/>
    <s v="Nio"/>
    <s v="Não"/>
    <m/>
  </r>
  <r>
    <s v="SC"/>
    <s v="TR819750"/>
    <s v="TT823284"/>
    <s v="IGOR ROBERTO SENA PAES"/>
    <s v="TÉCNICO MULTIFUNCIONAL"/>
    <x v="1"/>
    <s v="DANIEL OLIVEIRA"/>
    <x v="8"/>
    <s v="SC.NORTE.JVE.11"/>
    <x v="2"/>
    <m/>
    <m/>
    <x v="1"/>
    <m/>
    <m/>
    <m/>
    <s v="NIO"/>
    <m/>
    <s v="JUNIOMAR MOCHNACZ"/>
    <s v="JOINVILLE"/>
    <s v="Tim"/>
    <s v="Sim"/>
    <m/>
  </r>
  <r>
    <s v="SC"/>
    <s v="TR817971"/>
    <s v="TT818725"/>
    <s v="KELVER JONATHAN NASCIMENTO DINIZ"/>
    <s v="TÉCNICO MULTIFUNCIONAL"/>
    <x v="0"/>
    <s v="DANIEL OLIVEIRA"/>
    <x v="8"/>
    <s v="SC.NORTE.JVE.11"/>
    <x v="2"/>
    <m/>
    <m/>
    <x v="0"/>
    <m/>
    <m/>
    <m/>
    <s v="NIO"/>
    <m/>
    <s v="JUNIOMAR MOCHNACZ"/>
    <s v="JOINVILLE"/>
    <s v="Tim"/>
    <s v="Sim"/>
    <m/>
  </r>
  <r>
    <s v="SC"/>
    <s v="TR695690"/>
    <s v="TT695690"/>
    <s v="LEONARDO DUARTE GOMES"/>
    <s v="TÉCNICO MULTIFUNCIONAL"/>
    <x v="0"/>
    <s v="DANIEL OLIVEIRA"/>
    <x v="8"/>
    <s v="SC.NORTE.JVE.11"/>
    <x v="2"/>
    <m/>
    <m/>
    <x v="0"/>
    <m/>
    <m/>
    <s v="Plantão até 12h"/>
    <s v="TIM"/>
    <m/>
    <s v="JUNIOMAR MOCHNACZ"/>
    <s v="JOINVILLE"/>
    <s v="Tim"/>
    <s v="Sim"/>
    <m/>
  </r>
  <r>
    <s v="SC"/>
    <s v="TR560731"/>
    <s v="TT560731"/>
    <s v="PASCOAL COAN"/>
    <s v="TÉCNICO MULTIFUNCIONAL"/>
    <x v="0"/>
    <s v="DANIEL OLIVEIRA"/>
    <x v="8"/>
    <s v="SC.NORTE.JVE.11"/>
    <x v="2"/>
    <m/>
    <m/>
    <x v="0"/>
    <m/>
    <m/>
    <m/>
    <s v="NIO | TIM"/>
    <m/>
    <s v="JUNIOMAR MOCHNACZ"/>
    <s v="JOINVILLE"/>
    <e v="#N/A"/>
    <e v="#N/A"/>
    <m/>
  </r>
  <r>
    <s v="SC"/>
    <s v="TR733308"/>
    <s v="TT733308"/>
    <s v="RICARDO BADIO"/>
    <s v="TÉCNICO MULTIFUNCIONAL"/>
    <x v="0"/>
    <s v="DANIEL OLIVEIRA"/>
    <x v="8"/>
    <s v="SC.NORTE.JVE.11"/>
    <x v="2"/>
    <m/>
    <m/>
    <x v="0"/>
    <m/>
    <m/>
    <s v="Plantão até 12h"/>
    <s v="NIO | TIM"/>
    <m/>
    <s v="JUNIOMAR MOCHNACZ"/>
    <s v="JOINVILLE"/>
    <s v="Nio"/>
    <s v="Não"/>
    <m/>
  </r>
  <r>
    <s v="SC"/>
    <s v="TT156528"/>
    <s v="TT156528"/>
    <s v="ROBSON ROBERTO REIS"/>
    <s v="TÉCNICO MULTIFUNCIONAL"/>
    <x v="1"/>
    <s v="DANIEL OLIVEIRA"/>
    <x v="8"/>
    <s v="SC.NORTE.JVE.11"/>
    <x v="2"/>
    <m/>
    <m/>
    <x v="1"/>
    <m/>
    <m/>
    <m/>
    <s v="TIM"/>
    <m/>
    <s v="JUNIOMAR MOCHNACZ"/>
    <s v="JOINVILLE"/>
    <s v="Tim"/>
    <s v="Não"/>
    <m/>
  </r>
  <r>
    <s v="SC"/>
    <s v="TR123986"/>
    <s v="TT123986"/>
    <s v="SIDNEI LACERDA DA ROSA"/>
    <s v="TÉCNICO MULTIFUNCIONAL"/>
    <x v="0"/>
    <s v="DANIEL OLIVEIRA"/>
    <x v="8"/>
    <s v="SC.NORTE.JVE.11"/>
    <x v="2"/>
    <m/>
    <m/>
    <x v="0"/>
    <m/>
    <m/>
    <m/>
    <s v="TIM | CP"/>
    <m/>
    <s v="JUNIOMAR MOCHNACZ"/>
    <s v="JOINVILLE"/>
    <s v="Tim"/>
    <s v="Sim"/>
    <m/>
  </r>
  <r>
    <s v="SC"/>
    <s v="TR820187"/>
    <s v="TT824019"/>
    <s v="THIAGO ROCHA FERREIRA"/>
    <s v="TÉCNICO MULTIFUNCIONAL"/>
    <x v="1"/>
    <s v="DANIEL OLIVEIRA"/>
    <x v="8"/>
    <s v="SC.NORTE.JVE.11"/>
    <x v="0"/>
    <m/>
    <m/>
    <x v="1"/>
    <m/>
    <m/>
    <m/>
    <s v="NIO"/>
    <m/>
    <s v="JUNIOMAR MOCHNACZ"/>
    <s v="JOINVILLE"/>
    <e v="#N/A"/>
    <e v="#N/A"/>
    <m/>
  </r>
  <r>
    <s v="SC"/>
    <s v="TR780145"/>
    <s v="TT780145"/>
    <s v="VERISMAR ATNAN ALVES DOS SANTOS"/>
    <s v="TÉCNICO MULTIFUNCIONAL"/>
    <x v="0"/>
    <s v="DANIEL OLIVEIRA"/>
    <x v="8"/>
    <s v="SC.NORTE.JVE.11"/>
    <x v="2"/>
    <m/>
    <m/>
    <x v="0"/>
    <m/>
    <m/>
    <s v="Plantão até 12h"/>
    <s v="NIO | CP"/>
    <m/>
    <s v="JUNIOMAR MOCHNACZ"/>
    <s v="JOINVILLE"/>
    <e v="#N/A"/>
    <e v="#N/A"/>
    <m/>
  </r>
  <r>
    <s v="SC"/>
    <s v="TR621718"/>
    <s v="TT817779"/>
    <s v="WELLERSON FRANKLIN DE ALMEIDA SILVA"/>
    <s v="TÉCNICO MULTIFUNCIONAL"/>
    <x v="1"/>
    <s v="DANIEL OLIVEIRA"/>
    <x v="8"/>
    <s v="SC.NORTE.JVE.11"/>
    <x v="0"/>
    <m/>
    <s v="Baixa"/>
    <x v="1"/>
    <m/>
    <m/>
    <s v="Tecnico vindo do RJ, regularizando Sistemas"/>
    <s v="TIM"/>
    <m/>
    <s v="JUNIOMAR MOCHNACZ"/>
    <s v="JOINVILLE"/>
    <s v="Nio"/>
    <s v="Não"/>
    <m/>
  </r>
  <r>
    <s v="SC"/>
    <s v="TR789238"/>
    <s v="TT789238"/>
    <s v="OTO RENATO DO PRADO"/>
    <s v="TÉCNICO MULTIFUNCIONAL"/>
    <x v="1"/>
    <s v="DANIEL OLIVEIRA"/>
    <x v="8"/>
    <s v="SC.NORTE.JVE.11"/>
    <x v="2"/>
    <m/>
    <m/>
    <x v="1"/>
    <m/>
    <m/>
    <s v="Plantão até 12h"/>
    <s v="NIO | CP"/>
    <m/>
    <s v="JUNIOMAR MOCHNACZ"/>
    <s v="ITAJAI"/>
    <s v="Tim"/>
    <s v="Sim"/>
    <m/>
  </r>
  <r>
    <s v="SC"/>
    <s v="TR168349"/>
    <s v="TT168349"/>
    <s v="ALEXANDRE JEREMIAS ARL"/>
    <s v="TECNICO DADOS II"/>
    <x v="1"/>
    <s v="DANIEL OLIVEIRA"/>
    <x v="8"/>
    <s v="SC.NORTE.JVE.11"/>
    <x v="3"/>
    <s v="Técnico de Dados"/>
    <s v="Baixa"/>
    <x v="1"/>
    <m/>
    <m/>
    <m/>
    <s v="NIO"/>
    <m/>
    <s v="JUNIOMAR MOCHNACZ"/>
    <s v="JOINVILLE"/>
    <s v="Tim"/>
    <s v="Sim"/>
    <m/>
  </r>
  <r>
    <s v="SC"/>
    <s v="TR817970"/>
    <s v="TT818577"/>
    <s v="ALEXANDRE MENDES PEREIRA"/>
    <s v="TÉCNICO MULTIFUNCIONAL"/>
    <x v="0"/>
    <s v="DANIEL OLIVEIRA"/>
    <x v="8"/>
    <s v="SC.NORTE.JVE.11"/>
    <x v="2"/>
    <m/>
    <m/>
    <x v="0"/>
    <m/>
    <m/>
    <m/>
    <s v="NIO | CP"/>
    <m/>
    <s v="JUNIOMAR MOCHNACZ"/>
    <s v="JOINVILLE"/>
    <s v="Nio"/>
    <s v="Não"/>
    <m/>
  </r>
  <r>
    <s v="SC"/>
    <s v="TR817749"/>
    <s v="TT817615"/>
    <s v="IVAN DE SOUSA OLIVEIRA"/>
    <s v="TÉCNICO MULTIFUNCIONAL"/>
    <x v="0"/>
    <s v="DANIEL OLIVEIRA"/>
    <x v="8"/>
    <s v="SC.NORTE.JVE.11"/>
    <x v="2"/>
    <s v="Outros"/>
    <m/>
    <x v="0"/>
    <m/>
    <m/>
    <m/>
    <s v="TIM | CP"/>
    <m/>
    <s v="JUNIOMAR MOCHNACZ"/>
    <s v="JOINVILLE"/>
    <s v="Tim"/>
    <s v="Sim"/>
    <m/>
  </r>
  <r>
    <s v="SC"/>
    <s v="TR818780"/>
    <s v="TT820852"/>
    <s v="WARLEY BARBOSA DOS SANTOS"/>
    <s v="TÉCNICO MULTIFUNCIONAL"/>
    <x v="0"/>
    <s v="DANIEL OLIVEIRA"/>
    <x v="8"/>
    <s v="SC.NORTE.JVE.11"/>
    <x v="0"/>
    <m/>
    <m/>
    <x v="0"/>
    <m/>
    <m/>
    <m/>
    <s v="TIM | CP"/>
    <m/>
    <s v="JUNIOMAR MOCHNACZ"/>
    <s v="JOINVILLE"/>
    <s v="Tim"/>
    <s v="Não"/>
    <m/>
  </r>
  <r>
    <s v="SC"/>
    <s v="TR585339"/>
    <s v="TT818532"/>
    <s v="ALCIONE LOPES DE LIZ"/>
    <s v="TÉCNICO MULTIFUNCIONAL"/>
    <x v="0"/>
    <s v="FABIO ROBERTO VERONICA"/>
    <x v="9"/>
    <s v="SC.PLA.LGS.11"/>
    <x v="4"/>
    <s v="Afastado"/>
    <m/>
    <x v="0"/>
    <d v="2026-03-16T00:00:00"/>
    <d v="2026-03-20T00:00:00"/>
    <s v="Torceu o Tornozelo no Plantão 14/03"/>
    <s v="NIO | TIM | CP"/>
    <m/>
    <s v="MAURI DUTRA"/>
    <s v="CHAPECO"/>
    <s v="Nio"/>
    <s v="Não"/>
    <m/>
  </r>
  <r>
    <s v="SC"/>
    <s v="TR578678"/>
    <s v="TT810210"/>
    <s v="JULIANO NECKEL"/>
    <s v="TÉCNICO MULTIFUNCIONAL"/>
    <x v="0"/>
    <s v="FABIO ROBERTO VERONICA"/>
    <x v="10"/>
    <s v="SC.OESTE.CCO.11"/>
    <x v="2"/>
    <m/>
    <m/>
    <x v="0"/>
    <m/>
    <m/>
    <m/>
    <s v="NIO | TIM"/>
    <m/>
    <s v="MAURI DUTRA"/>
    <s v="CHAPECO"/>
    <s v="Tim"/>
    <s v="Sim"/>
    <m/>
  </r>
  <r>
    <s v="SC"/>
    <s v="TR536003"/>
    <s v="TT536003"/>
    <s v="NAILOR VAIME BELTRAME"/>
    <s v="TÉCNICO MULTIFUNCIONAL"/>
    <x v="0"/>
    <s v="FABIO ROBERTO VERONICA"/>
    <x v="10"/>
    <s v="SC.OESTE.CCO.11"/>
    <x v="2"/>
    <m/>
    <m/>
    <x v="0"/>
    <m/>
    <m/>
    <m/>
    <s v="NIO | TIM"/>
    <m/>
    <s v="MAURI DUTRA"/>
    <s v="CHAPECO"/>
    <s v="Nio"/>
    <s v="Não"/>
    <m/>
  </r>
  <r>
    <s v="SC"/>
    <s v="TR011326"/>
    <s v="TT011326"/>
    <s v="RENI LUIS BALLEN"/>
    <s v="TÉCNICO MULTIFUNCIONAL"/>
    <x v="1"/>
    <s v="FABIO ROBERTO VERONICA"/>
    <x v="10"/>
    <s v="SC.OESTE.CCO.11"/>
    <x v="2"/>
    <m/>
    <m/>
    <x v="1"/>
    <m/>
    <m/>
    <m/>
    <s v="NIO"/>
    <m/>
    <s v="MAURI DUTRA"/>
    <s v="CHAPECO"/>
    <s v="Nio"/>
    <s v="Não"/>
    <m/>
  </r>
  <r>
    <s v="SC"/>
    <s v="TC031504"/>
    <s v="TT822851"/>
    <s v="ROGERIO LOURENCO PEREIRA"/>
    <s v="TÉCNICO MULTIFUNCIONAL"/>
    <x v="0"/>
    <s v="FABIO ROBERTO VERONICA"/>
    <x v="10"/>
    <s v="SC.OESTE.CCO.11"/>
    <x v="2"/>
    <m/>
    <m/>
    <x v="0"/>
    <m/>
    <m/>
    <m/>
    <s v="NIO | TIM"/>
    <m/>
    <s v="MAURI DUTRA"/>
    <s v="CHAPECO"/>
    <s v="Nio"/>
    <s v="Não"/>
    <m/>
  </r>
  <r>
    <s v="SC"/>
    <s v="TR817746"/>
    <s v="TT817606"/>
    <s v="CHARLES DE LIMA"/>
    <s v="TÉCNICO MULTIFUNCIONAL"/>
    <x v="0"/>
    <s v="FABIO ROBERTO VERONICA"/>
    <x v="9"/>
    <s v="SC.PLA.LGS.11"/>
    <x v="2"/>
    <m/>
    <m/>
    <x v="0"/>
    <m/>
    <m/>
    <m/>
    <s v="NIO | TIM | CP"/>
    <m/>
    <s v="MAURI DUTRA"/>
    <s v="CHAPECO"/>
    <s v="Nio"/>
    <s v="Não"/>
    <m/>
  </r>
  <r>
    <s v="SC"/>
    <s v="TR741362"/>
    <s v="TT741362"/>
    <s v="DYEMES THEODORO PADILHA"/>
    <s v="TÉCNICO MULTIFUNCIONAL"/>
    <x v="0"/>
    <s v="FABIO ROBERTO VERONICA"/>
    <x v="9"/>
    <s v="SC.PLA.LGS.11"/>
    <x v="0"/>
    <m/>
    <m/>
    <x v="0"/>
    <m/>
    <m/>
    <m/>
    <s v="NIO | TIM | CP"/>
    <m/>
    <s v="MAURI DUTRA"/>
    <s v="CHAPECO"/>
    <s v="Tim"/>
    <s v="Sim"/>
    <m/>
  </r>
  <r>
    <s v="SC"/>
    <s v="TR711475"/>
    <s v="TT711475"/>
    <s v="ROGER OLIVEIRA DE JESUS"/>
    <s v="TÉCNICO MULTIFUNCIONAL"/>
    <x v="0"/>
    <s v="FABIO ROBERTO VERONICA"/>
    <x v="9"/>
    <s v="SC.PLA.LGS.11"/>
    <x v="0"/>
    <m/>
    <m/>
    <x v="0"/>
    <m/>
    <m/>
    <m/>
    <s v="NIO | TIM"/>
    <m/>
    <s v="MAURI DUTRA"/>
    <s v="LAGES"/>
    <s v="Tim"/>
    <s v="Sim"/>
    <m/>
  </r>
  <r>
    <s v="SC"/>
    <s v="TR741363"/>
    <s v="TT741363"/>
    <s v="ELESSANDRO DA SILVA"/>
    <s v="TÉCNICO MULTIFUNCIONAL"/>
    <x v="0"/>
    <s v="FABIO ROBERTO VERONICA"/>
    <x v="9"/>
    <s v="SC.PLA.LGS.11"/>
    <x v="2"/>
    <m/>
    <m/>
    <x v="0"/>
    <m/>
    <m/>
    <m/>
    <s v="NIO | TIM"/>
    <m/>
    <s v="MAURI DUTRA"/>
    <s v="SAO JOSE"/>
    <s v="Tim"/>
    <s v="Não"/>
    <m/>
  </r>
  <r>
    <s v="SC"/>
    <s v="TR729702"/>
    <s v="TT729702"/>
    <s v="ERITON CORREA"/>
    <s v="TÉCNICO MULTIFUNCIONAL"/>
    <x v="0"/>
    <s v="FABIO ROBERTO VERONICA"/>
    <x v="9"/>
    <s v="SC.PLA.LGS.11"/>
    <x v="2"/>
    <m/>
    <m/>
    <x v="0"/>
    <m/>
    <m/>
    <m/>
    <s v="NIO | TIM"/>
    <m/>
    <s v="MAURI DUTRA"/>
    <s v="LAGES"/>
    <s v="Tim"/>
    <s v="Sim"/>
    <m/>
  </r>
  <r>
    <s v="SC"/>
    <s v="TR819630"/>
    <s v="TT822848"/>
    <s v="EWERTON AFONSO AMARAL OLIVEIRA"/>
    <s v="TÉCNICO MULTIFUNCIONAL"/>
    <x v="0"/>
    <s v="FABIO ROBERTO VERONICA"/>
    <x v="9"/>
    <s v="SC.PLA.LGS.11"/>
    <x v="0"/>
    <m/>
    <m/>
    <x v="0"/>
    <m/>
    <m/>
    <m/>
    <s v="NIO | TIM"/>
    <m/>
    <s v="MAURI DUTRA"/>
    <s v="SAO JOSE"/>
    <s v="Nio"/>
    <s v="Não"/>
    <m/>
  </r>
  <r>
    <s v="SC"/>
    <s v="TR729705"/>
    <s v="TT729705"/>
    <s v="PAULO SERGIO LIMA"/>
    <s v="TÉCNICO MULTIFUNCIONAL"/>
    <x v="0"/>
    <s v="FABIO ROBERTO VERONICA"/>
    <x v="9"/>
    <s v="SC.PLA.LGS.11"/>
    <x v="2"/>
    <m/>
    <m/>
    <x v="0"/>
    <m/>
    <m/>
    <m/>
    <s v="NIO | TIM"/>
    <m/>
    <s v="MAURI DUTRA"/>
    <s v="LAGES"/>
    <s v="Tim"/>
    <s v="Sim"/>
    <m/>
  </r>
  <r>
    <s v="SC"/>
    <s v="TR084204"/>
    <s v="TT084204"/>
    <s v="EDER PIAZZETA"/>
    <s v="TECNICO DADOS II"/>
    <x v="0"/>
    <s v="FABIO ROBERTO VERONICA"/>
    <x v="10"/>
    <s v="SC.OESTE.CCO.11"/>
    <x v="3"/>
    <s v="Técnico de Dados"/>
    <s v="Baixa"/>
    <x v="0"/>
    <m/>
    <m/>
    <m/>
    <s v="NIO"/>
    <m/>
    <s v="JUNIOMAR MOCHNACZ"/>
    <s v="CHAPECO"/>
    <s v="Tim"/>
    <s v="Sim"/>
    <m/>
  </r>
  <r>
    <s v="SC"/>
    <s v="TR729655"/>
    <s v="TT729655"/>
    <s v="RODRIGO DE OLIVEIRA MARTINS"/>
    <s v="TÉCNICO DADOS I"/>
    <x v="0"/>
    <s v="FABIO ROBERTO VERONICA"/>
    <x v="9"/>
    <s v="SC.PLA.LGS.11"/>
    <x v="3"/>
    <s v="Técnico de Dados"/>
    <s v="Baixa"/>
    <x v="0"/>
    <m/>
    <m/>
    <m/>
    <s v="NIO"/>
    <m/>
    <s v="JUNIOMAR MOCHNACZ"/>
    <s v="LAGES"/>
    <s v="Tim"/>
    <s v="Sim"/>
    <m/>
  </r>
  <r>
    <s v="SC"/>
    <s v="TR011124"/>
    <s v="TT011124"/>
    <s v="CARLOS TADEU MOTA"/>
    <s v="TÉCNICO MULTIFUNCIONAL"/>
    <x v="0"/>
    <s v="FABIO ROBERTO VERONICA"/>
    <x v="9"/>
    <s v="SC.PLA.LGS.11"/>
    <x v="2"/>
    <m/>
    <m/>
    <x v="0"/>
    <m/>
    <m/>
    <m/>
    <s v="NIO | TIM | CP"/>
    <m/>
    <s v="MAURI DUTRA"/>
    <s v="PALHOCA"/>
    <s v="Tim"/>
    <s v="Sim"/>
    <m/>
  </r>
  <r>
    <s v="SC"/>
    <s v="TR454198"/>
    <s v="TT822909"/>
    <s v="FERNANDO GALLON"/>
    <s v="TÉCNICO MULTIFUNCIONAL"/>
    <x v="0"/>
    <s v="GREGORI SOUZA"/>
    <x v="11"/>
    <s v="SC.LESTE.FNS.11"/>
    <x v="0"/>
    <m/>
    <m/>
    <x v="0"/>
    <m/>
    <m/>
    <m/>
    <s v="NIO | TIM | CP"/>
    <m/>
    <s v="MAURI DUTRA"/>
    <s v="FLORIANOPOLIS"/>
    <s v="Tim"/>
    <s v="Sim"/>
    <m/>
  </r>
  <r>
    <s v="SC"/>
    <s v="TR738176"/>
    <s v="TT813390"/>
    <s v="RICARDO LUIZ JABLONSKI"/>
    <s v="TÉCNICO MULTIFUNCIONAL"/>
    <x v="1"/>
    <s v="GREGORI SOUZA"/>
    <x v="11"/>
    <s v="SC.LESTE.FNS.11"/>
    <x v="0"/>
    <m/>
    <m/>
    <x v="1"/>
    <m/>
    <m/>
    <m/>
    <s v="NIO | CP"/>
    <m/>
    <s v="MAURI DUTRA"/>
    <s v="FLORIANOPOLIS"/>
    <s v="Tim"/>
    <s v="Sim"/>
    <m/>
  </r>
  <r>
    <s v="SC"/>
    <s v="TR618415"/>
    <s v="TT618415"/>
    <s v="SILVIO GARCIA"/>
    <s v="TÉCNICO MULTIFUNCIONAL"/>
    <x v="0"/>
    <s v="GREGORI SOUZA"/>
    <x v="11"/>
    <s v="SC.LESTE.FNS.11"/>
    <x v="0"/>
    <m/>
    <m/>
    <x v="0"/>
    <m/>
    <m/>
    <m/>
    <s v="NIO | TIM | CP"/>
    <m/>
    <s v="MAURI DUTRA"/>
    <s v="FLORIANOPOLIS"/>
    <s v="Tim"/>
    <s v="Sim"/>
    <m/>
  </r>
  <r>
    <s v="SC"/>
    <s v="TR804222"/>
    <s v="TT804222"/>
    <s v="ELIELSON DA SILVA ALVES"/>
    <s v="TÉCNICO MULTIFUNCIONAL"/>
    <x v="1"/>
    <s v="GREGORI SOUZA"/>
    <x v="11"/>
    <s v="SC.LESTE.FNS.11"/>
    <x v="2"/>
    <m/>
    <m/>
    <x v="1"/>
    <m/>
    <m/>
    <m/>
    <s v="NIO | TIM"/>
    <m/>
    <s v="MAURI DUTRA"/>
    <s v="FLORIANOPOLIS"/>
    <s v="Nio"/>
    <s v="Não"/>
    <m/>
  </r>
  <r>
    <s v="SC"/>
    <s v="TR533230"/>
    <s v="TT828851"/>
    <s v="LUIZ FILIPI FERREIRA DA SILVA"/>
    <s v="TÉCNICO MULTIFUNCIONAL"/>
    <x v="1"/>
    <s v="GREGORI SOUZA"/>
    <x v="11"/>
    <s v="SC.LESTE.FNS.11"/>
    <x v="0"/>
    <m/>
    <m/>
    <x v="1"/>
    <m/>
    <m/>
    <s v="Não compareceu ao Plantão 14/03"/>
    <s v="NIO | TIM"/>
    <m/>
    <s v="MAURI DUTRA"/>
    <s v="FLORIANOPOLIS"/>
    <s v="Nio"/>
    <s v="Não"/>
    <m/>
  </r>
  <r>
    <s v="SC"/>
    <n v="1"/>
    <s v="TT829509"/>
    <s v="RAFAEL LOPES DOS SANTOS"/>
    <s v="TÉCNICO MULTIFUNCIONAL"/>
    <x v="1"/>
    <s v="GREGORI SOUZA"/>
    <x v="11"/>
    <s v="SC.LESTE.FNS.11"/>
    <x v="2"/>
    <m/>
    <m/>
    <x v="1"/>
    <m/>
    <m/>
    <m/>
    <s v="NIO | TIM"/>
    <m/>
    <s v="MAURI DUTRA"/>
    <s v="FLORIANOPOLIS"/>
    <s v="Tim"/>
    <s v="Sim"/>
    <m/>
  </r>
  <r>
    <s v="SC"/>
    <s v="TR791113"/>
    <s v="TT791113"/>
    <s v="ALLAN GILBERTO DOS SANTOS SOUZA"/>
    <s v="TÉCNICO MULTIFUNCIONAL"/>
    <x v="0"/>
    <s v="GREGORI SOUZA"/>
    <x v="12"/>
    <s v="SC.LESTE.TRD.11"/>
    <x v="0"/>
    <m/>
    <m/>
    <x v="0"/>
    <m/>
    <m/>
    <m/>
    <s v="NIO"/>
    <m/>
    <s v="MAURI DUTRA"/>
    <s v="FLORIANOPOLIS"/>
    <s v="Tim"/>
    <s v="Sim"/>
    <m/>
  </r>
  <r>
    <s v="SC"/>
    <s v="TT695480"/>
    <s v="TT695480"/>
    <s v="EVANDRO SILVA JUSTO"/>
    <s v="TÉCNICO MULTIFUNCIONAL"/>
    <x v="1"/>
    <s v="GREGORI SOUZA"/>
    <x v="12"/>
    <s v="SC.LESTE.TRD.11"/>
    <x v="0"/>
    <m/>
    <m/>
    <x v="1"/>
    <m/>
    <m/>
    <m/>
    <s v="NIO | TIM"/>
    <m/>
    <s v="MAURI DUTRA"/>
    <s v="FLORIANOPOLIS"/>
    <s v="Nio"/>
    <s v="Não"/>
    <m/>
  </r>
  <r>
    <s v="SC"/>
    <s v="TR797822"/>
    <s v="TT797822"/>
    <s v="ANDERSON LUIS SCHNEIDERS BATISTA"/>
    <s v="TÉCNICO MULTIFUNCIONAL"/>
    <x v="0"/>
    <s v="GREGORI SOUZA"/>
    <x v="12"/>
    <s v="SC.LESTE.TRD.11"/>
    <x v="0"/>
    <m/>
    <m/>
    <x v="0"/>
    <m/>
    <m/>
    <m/>
    <s v="NIO"/>
    <m/>
    <s v="MAURI DUTRA"/>
    <s v="FLORIANOPOLIS"/>
    <s v="Tim"/>
    <s v="Sim"/>
    <m/>
  </r>
  <r>
    <s v="SC"/>
    <s v="TR614972"/>
    <s v="TT614972"/>
    <s v="EDUARDO DIAS FERNANDES"/>
    <s v="TÉCNICO MULTIFUNCIONAL"/>
    <x v="0"/>
    <s v="GREGORI SOUZA"/>
    <x v="12"/>
    <s v="SC.LESTE.TRD.11"/>
    <x v="2"/>
    <m/>
    <m/>
    <x v="0"/>
    <m/>
    <m/>
    <m/>
    <s v="NIO | TIM | CP"/>
    <m/>
    <s v="MAURI DUTRA"/>
    <s v="FLORIANOPOLIS"/>
    <s v="Nio"/>
    <s v="Não"/>
    <m/>
  </r>
  <r>
    <s v="SC"/>
    <s v="TR812670"/>
    <s v="TT813648"/>
    <s v="JESSE MONTEIRO DE SOUZA JUNIOR"/>
    <s v="TÉCNICO MULTIFUNCIONAL"/>
    <x v="0"/>
    <s v="GREGORI SOUZA"/>
    <x v="12"/>
    <s v="SC.LESTE.TRD.11"/>
    <x v="2"/>
    <m/>
    <m/>
    <x v="0"/>
    <m/>
    <m/>
    <m/>
    <s v="NIO | TIM"/>
    <m/>
    <s v="MAURI DUTRA"/>
    <s v="FLORIANOPOLIS"/>
    <s v="Nio"/>
    <s v="Não"/>
    <m/>
  </r>
  <r>
    <s v="SC"/>
    <s v="TR817750"/>
    <s v="TT817616"/>
    <s v="LEANDRO DE SOUZA ASSUNCAO"/>
    <s v="TÉCNICO MULTIFUNCIONAL"/>
    <x v="0"/>
    <s v="GREGORI SOUZA"/>
    <x v="11"/>
    <s v="SC.LESTE.FNS.11"/>
    <x v="2"/>
    <m/>
    <m/>
    <x v="0"/>
    <m/>
    <m/>
    <m/>
    <s v="NIO | TIM | CP"/>
    <m/>
    <s v="MAURI DUTRA"/>
    <s v="FLORIANOPOLIS"/>
    <s v="Tim"/>
    <s v="Sim"/>
    <m/>
  </r>
  <r>
    <s v="SC"/>
    <s v="TR809136"/>
    <s v="TT809136"/>
    <s v="MAIKON GONCALVES MARTINS"/>
    <s v="TÉCNICO MULTIFUNCIONAL"/>
    <x v="0"/>
    <s v="GREGORI SOUZA"/>
    <x v="12"/>
    <s v="SC.LESTE.TRD.11"/>
    <x v="2"/>
    <m/>
    <m/>
    <x v="0"/>
    <m/>
    <m/>
    <m/>
    <s v="NIO | TIM"/>
    <m/>
    <s v="MAURI DUTRA"/>
    <s v="FLORIANOPOLIS"/>
    <s v="Nio"/>
    <s v="Não"/>
    <m/>
  </r>
  <r>
    <s v="SC"/>
    <s v="TR821743"/>
    <s v="TT828853"/>
    <s v="RAFAEL LA BELLA PEDROSO"/>
    <s v="TÉCNICO MULTIFUNCIONAL"/>
    <x v="0"/>
    <s v="GREGORI SOUZA"/>
    <x v="12"/>
    <s v="SC.LESTE.TRD.11"/>
    <x v="2"/>
    <m/>
    <m/>
    <x v="0"/>
    <m/>
    <m/>
    <m/>
    <s v="NIO | TIM"/>
    <m/>
    <s v="MAURI DUTRA"/>
    <s v="FLORIANOPOLIS"/>
    <s v="Nio"/>
    <s v="Não"/>
    <m/>
  </r>
  <r>
    <s v="SC"/>
    <s v="TR818961"/>
    <s v="TT821516"/>
    <s v="VAGNER DO NASCIMENTO GIVIGI"/>
    <s v="TÉCNICO MULTIFUNCIONAL"/>
    <x v="0"/>
    <s v="GREGORI SOUZA"/>
    <x v="12"/>
    <s v="SC.LESTE.TRD.11"/>
    <x v="2"/>
    <m/>
    <m/>
    <x v="0"/>
    <m/>
    <m/>
    <m/>
    <s v="NIO | TIM | CP"/>
    <m/>
    <s v="MAURI DUTRA"/>
    <s v="PALHOCA"/>
    <s v="Tim"/>
    <s v="Sim"/>
    <m/>
  </r>
  <r>
    <s v="SC"/>
    <s v="TR577116"/>
    <s v="TT577116"/>
    <s v="RODRIGO MELLO DA SILVA"/>
    <s v="TÉCNICO MULTIFUNCIONAL"/>
    <x v="0"/>
    <s v="GREGORI SOUZA"/>
    <x v="11"/>
    <s v="SC.LESTE.FNS.11"/>
    <x v="0"/>
    <m/>
    <m/>
    <x v="0"/>
    <m/>
    <m/>
    <m/>
    <s v="NIO | TIM | CP"/>
    <m/>
    <s v="MAURI DUTRA"/>
    <s v="FLORIANOPOLIS"/>
    <s v="Tim"/>
    <s v="Sim"/>
    <m/>
  </r>
  <r>
    <s v="SC"/>
    <s v="TR818218"/>
    <s v="TT819046"/>
    <s v="VINICIUS DE SOUZA"/>
    <s v="TÉCNICO MULTIFUNCIONAL"/>
    <x v="1"/>
    <s v="ROBERTO DE SOUZA JUNIOR"/>
    <x v="13"/>
    <s v="SC.VL2.IAI.11"/>
    <x v="2"/>
    <m/>
    <m/>
    <x v="1"/>
    <d v="2026-04-03T00:00:00"/>
    <d v="2026-04-07T00:00:00"/>
    <m/>
    <s v="TIM | CP"/>
    <m/>
    <s v="JUNIOMAR MOCHNACZ"/>
    <s v="ITAJAI"/>
    <s v="Nio"/>
    <s v="Não"/>
    <m/>
  </r>
  <r>
    <s v="SC"/>
    <s v="TR615873"/>
    <s v="TT615873"/>
    <s v="CARLOS ERICO DOS SANTOS SILVA"/>
    <s v="TÉCNICO MULTIFUNCIONAL"/>
    <x v="1"/>
    <s v="ROBERTO DE SOUZA JUNIOR"/>
    <x v="14"/>
    <s v="SC.VL1.BQE.11"/>
    <x v="0"/>
    <m/>
    <m/>
    <x v="1"/>
    <m/>
    <m/>
    <m/>
    <s v="NIO"/>
    <m/>
    <s v="JUNIOMAR MOCHNACZ"/>
    <s v="BRUSQUE"/>
    <s v="Nio"/>
    <s v="Não"/>
    <m/>
  </r>
  <r>
    <s v="SC"/>
    <s v="TR615592"/>
    <s v="TT615592"/>
    <s v="RODRIGO BUGILA"/>
    <s v="TÉCNICO MULTIFUNCIONAL"/>
    <x v="0"/>
    <s v="ROBERTO DE SOUZA JUNIOR"/>
    <x v="14"/>
    <s v="SC.VL1.BQE.11"/>
    <x v="0"/>
    <m/>
    <m/>
    <x v="0"/>
    <m/>
    <m/>
    <m/>
    <s v="TIM | CP"/>
    <m/>
    <s v="JUNIOMAR MOCHNACZ"/>
    <s v="BRUSQUE"/>
    <s v="Tim"/>
    <s v="Sim"/>
    <m/>
  </r>
  <r>
    <s v="SC"/>
    <s v="TR711572"/>
    <s v="TT711572"/>
    <s v="JEFFERSON LUIS RENGEL"/>
    <s v="TÉCNICO MULTIFUNCIONAL"/>
    <x v="0"/>
    <s v="ROBERTO DE SOUZA JUNIOR"/>
    <x v="14"/>
    <s v="SC.VL1.BQE.11"/>
    <x v="2"/>
    <m/>
    <m/>
    <x v="0"/>
    <m/>
    <m/>
    <m/>
    <s v="TIM | CP"/>
    <m/>
    <s v="JUNIOMAR MOCHNACZ"/>
    <s v="BRUSQUE"/>
    <m/>
    <m/>
    <m/>
  </r>
  <r>
    <s v="SC"/>
    <s v="TR537408"/>
    <s v="TT537408"/>
    <s v="RAFAEL DE MENEZES PEREIRA"/>
    <s v="TÉCNICO MULTIFUNCIONAL"/>
    <x v="0"/>
    <s v="ROBERTO DE SOUZA JUNIOR"/>
    <x v="14"/>
    <s v="SC.VL1.BQE.11"/>
    <x v="2"/>
    <m/>
    <m/>
    <x v="0"/>
    <m/>
    <m/>
    <m/>
    <s v="TIM | CP"/>
    <m/>
    <s v="JUNIOMAR MOCHNACZ"/>
    <s v="BRUSQUE"/>
    <m/>
    <m/>
    <m/>
  </r>
  <r>
    <s v="SC"/>
    <n v="9"/>
    <s v="TT829511"/>
    <s v="WESLEY SOUZA DOS SANTOS"/>
    <s v="TÉCNICO MULTIFUNCIONAL"/>
    <x v="1"/>
    <s v="ROBERTO DE SOUZA JUNIOR"/>
    <x v="14"/>
    <s v="SC.VL1.BQE.11"/>
    <x v="0"/>
    <m/>
    <s v="Baixa"/>
    <x v="1"/>
    <m/>
    <m/>
    <s v="Novato"/>
    <s v="NIO"/>
    <m/>
    <s v="JUNIOMAR MOCHNACZ"/>
    <s v="BRUSQUE"/>
    <m/>
    <m/>
    <m/>
  </r>
  <r>
    <s v="SC"/>
    <s v="TR699705"/>
    <s v="TT699705"/>
    <s v="JEAN FRANCISCO FRANCO DE CAMARGO"/>
    <s v="TÉCNICO MULTIFUNCIONAL"/>
    <x v="0"/>
    <s v="ROBERTO DE SOUZA JUNIOR"/>
    <x v="13"/>
    <s v="SC.VL2.IAI.11"/>
    <x v="2"/>
    <m/>
    <m/>
    <x v="0"/>
    <m/>
    <m/>
    <m/>
    <s v="TIM | CP"/>
    <m/>
    <s v="JUNIOMAR MOCHNACZ"/>
    <s v="ITAJAI"/>
    <m/>
    <m/>
    <m/>
  </r>
  <r>
    <s v="SC"/>
    <s v="TR819751"/>
    <s v="TT823285"/>
    <s v="WELITON BATISTA MELO"/>
    <s v="TÉCNICO MULTIFUNCIONAL"/>
    <x v="0"/>
    <s v="ROBERTO DE SOUZA JUNIOR"/>
    <x v="13"/>
    <s v="SC.VL2.IAI.11"/>
    <x v="2"/>
    <m/>
    <m/>
    <x v="0"/>
    <m/>
    <m/>
    <m/>
    <s v="TIM | CP"/>
    <m/>
    <s v="JUNIOMAR MOCHNACZ"/>
    <s v="ITAJAI"/>
    <m/>
    <m/>
    <m/>
  </r>
  <r>
    <s v="SC"/>
    <s v="TR597558"/>
    <s v="TT597558"/>
    <s v="AMAURI FRANCISCO CARDOZO"/>
    <s v="TÉCNICO MULTIFUNCIONAL"/>
    <x v="1"/>
    <s v="ROBERTO DE SOUZA JUNIOR"/>
    <x v="13"/>
    <s v="SC.VL2.IAI.11"/>
    <x v="0"/>
    <m/>
    <m/>
    <x v="1"/>
    <m/>
    <m/>
    <m/>
    <s v="NIO"/>
    <m/>
    <s v="JUNIOMAR MOCHNACZ"/>
    <s v="BALNEARIO CAMBORIU"/>
    <m/>
    <m/>
    <m/>
  </r>
  <r>
    <s v="SC"/>
    <s v="TR003232"/>
    <s v="TT003232"/>
    <s v="DANIEL MARINHO BATISTA"/>
    <s v="TÉCNICO MULTIFUNCIONAL"/>
    <x v="1"/>
    <s v="ROBERTO DE SOUZA JUNIOR"/>
    <x v="13"/>
    <s v="SC.VL2.IAI.11"/>
    <x v="2"/>
    <m/>
    <m/>
    <x v="1"/>
    <m/>
    <m/>
    <m/>
    <s v="NIO"/>
    <m/>
    <s v="JUNIOMAR MOCHNACZ"/>
    <s v="BLUMENAU"/>
    <m/>
    <m/>
    <m/>
  </r>
  <r>
    <s v="SC"/>
    <s v="TR800397"/>
    <s v=" TT800397"/>
    <s v="FELIPE DE SOUZA"/>
    <s v="TÉCNICO MULTIFUNCIONAL"/>
    <x v="0"/>
    <s v="ROBERTO DE SOUZA JUNIOR"/>
    <x v="13"/>
    <s v="SC.VL2.IAI.11"/>
    <x v="0"/>
    <m/>
    <m/>
    <x v="0"/>
    <m/>
    <m/>
    <m/>
    <s v="NIO"/>
    <m/>
    <s v="JUNIOMAR MOCHNACZ"/>
    <s v="ITAJAI"/>
    <m/>
    <m/>
    <m/>
  </r>
  <r>
    <s v="SC"/>
    <s v="TR089387"/>
    <s v="TT829723"/>
    <s v="FRANCINEUDO DA SILVA SOUSA"/>
    <s v="TÉCNICO MULTIFUNCIONAL"/>
    <x v="1"/>
    <s v="ROBERTO DE SOUZA JUNIOR"/>
    <x v="13"/>
    <s v="SC.VL2.IAI.11"/>
    <x v="0"/>
    <m/>
    <m/>
    <x v="1"/>
    <m/>
    <m/>
    <m/>
    <s v="NIO"/>
    <m/>
    <s v="JUNIOMAR MOCHNACZ"/>
    <s v="ITAJAI"/>
    <m/>
    <m/>
    <m/>
  </r>
  <r>
    <s v="SC"/>
    <s v="TR687181"/>
    <s v="TT687181"/>
    <s v="MAYCON PASSOS DA SILVA ROSA"/>
    <s v="TÉCNICO MULTIFUNCIONAL"/>
    <x v="1"/>
    <s v="ROBERTO DE SOUZA JUNIOR"/>
    <x v="13"/>
    <s v="SC.VL2.IAI.11"/>
    <x v="2"/>
    <m/>
    <m/>
    <x v="1"/>
    <m/>
    <m/>
    <m/>
    <s v="TIM"/>
    <m/>
    <s v="JUNIOMAR MOCHNACZ"/>
    <s v="ITAJAI"/>
    <m/>
    <m/>
    <m/>
  </r>
  <r>
    <s v="SC"/>
    <s v="TR314446"/>
    <n v="10"/>
    <s v="MAYCKON HENRIQUE CASAS CORDOVA"/>
    <s v="TECNICO DE DADOS I"/>
    <x v="1"/>
    <s v="ROBERTO DE SOUZA JUNIOR"/>
    <x v="13"/>
    <s v="SC.VL2.IAI.11"/>
    <x v="3"/>
    <s v="Técnico de Dados"/>
    <s v="Baixa"/>
    <x v="1"/>
    <m/>
    <m/>
    <s v="Tecnio de Dados, abrir quando sem demanda Dados"/>
    <s v="NIO"/>
    <m/>
    <s v="JUNIOMAR MOCHNACZ"/>
    <s v="ITAJAI"/>
    <m/>
    <m/>
    <m/>
  </r>
  <r>
    <s v="SC"/>
    <s v="TR819746"/>
    <s v="TT823272"/>
    <s v="TIAGO FELIPE SOUZA SANTOS MAGNO"/>
    <s v="TÉCNICO MULTIFUNCIONAL"/>
    <x v="0"/>
    <s v="ROBERTO DE SOUZA JUNIOR"/>
    <x v="13"/>
    <s v="SC.VL2.IAI.11"/>
    <x v="1"/>
    <m/>
    <m/>
    <x v="0"/>
    <d v="2026-03-28T00:00:00"/>
    <m/>
    <s v="Plantão até 12h"/>
    <s v="TIM | CP"/>
    <m/>
    <s v="JUNIOMAR MOCHNACZ"/>
    <s v="ITAJAI"/>
    <m/>
    <m/>
    <m/>
  </r>
  <r>
    <s v="SC"/>
    <s v="TR699710"/>
    <s v="TT699710"/>
    <s v="LUANDERSON CAZUMBA BARBOSA"/>
    <s v="TÉCNICO MULTIFUNCIONAL"/>
    <x v="0"/>
    <s v="ROBERTO DE SOUZA JUNIOR"/>
    <x v="14"/>
    <s v="SC.VL1.BQE.11"/>
    <x v="0"/>
    <m/>
    <m/>
    <x v="0"/>
    <m/>
    <m/>
    <m/>
    <s v="NIO | CP"/>
    <m/>
    <s v="JUNIOMAR MOCHNACZ"/>
    <s v="BRUSQUE"/>
    <m/>
    <m/>
    <m/>
  </r>
  <r>
    <s v="SC"/>
    <s v="TR514450"/>
    <s v="TT821607"/>
    <s v="FABIO GONCALVES DE ANDRADE"/>
    <s v="TÉCNICO MULTIFUNCIONAL"/>
    <x v="2"/>
    <s v="TIAGO PEREIRA FRANCA"/>
    <x v="15"/>
    <s v="SC.VL2.IAI.11"/>
    <x v="0"/>
    <m/>
    <m/>
    <x v="2"/>
    <m/>
    <m/>
    <m/>
    <s v="NIO | TIM | CP"/>
    <m/>
    <s v="JUNIOMAR MOCHNACZ"/>
    <s v="JOINVILLE"/>
    <m/>
    <m/>
    <m/>
  </r>
  <r>
    <s v="SC"/>
    <s v="TR612597"/>
    <s v="TT612597"/>
    <s v="FABIO VELOZO"/>
    <s v="TÉCNICO MULTIFUNCIONAL"/>
    <x v="0"/>
    <s v="TIAGO PEREIRA FRANCA"/>
    <x v="15"/>
    <s v="SC.NORTE.JVE.12"/>
    <x v="2"/>
    <m/>
    <m/>
    <x v="0"/>
    <m/>
    <m/>
    <s v="Plantão até 12h"/>
    <s v="NIO | TIM"/>
    <m/>
    <s v="JUNIOMAR MOCHNACZ"/>
    <s v="JOINVILLE"/>
    <m/>
    <m/>
    <m/>
  </r>
  <r>
    <s v="SC"/>
    <s v="TR790152"/>
    <s v="TT790152"/>
    <s v="FRANCISCO EDUARDO DA ROZA"/>
    <s v="TÉCNICO MULTIFUNCIONAL"/>
    <x v="1"/>
    <s v="TIAGO PEREIRA FRANCA"/>
    <x v="15"/>
    <s v="SC.VL2.IAI.11"/>
    <x v="0"/>
    <m/>
    <m/>
    <x v="1"/>
    <m/>
    <m/>
    <m/>
    <s v="NIO"/>
    <m/>
    <s v="JUNIOMAR MOCHNACZ"/>
    <s v="JOINVILLE"/>
    <m/>
    <m/>
    <m/>
  </r>
  <r>
    <s v="SC"/>
    <s v="TR610570"/>
    <s v="TT610570"/>
    <s v="LENOIR CEOLIN"/>
    <s v="TÉCNICO MULTIFUNCIONAL"/>
    <x v="2"/>
    <s v="TIAGO PEREIRA FRANCA"/>
    <x v="15"/>
    <s v="SC.NORTE.JVE.12"/>
    <x v="2"/>
    <m/>
    <m/>
    <x v="2"/>
    <m/>
    <m/>
    <m/>
    <s v="NIO | TIM | CP"/>
    <m/>
    <s v="JUNIOMAR MOCHNACZ"/>
    <s v="JOINVILLE"/>
    <m/>
    <m/>
    <m/>
  </r>
  <r>
    <s v="SC"/>
    <s v="TR819825"/>
    <s v="TT823367"/>
    <s v="EDIELSON ROBERTO PARRONCHI"/>
    <s v="TÉCNICO MULTIFUNCIONAL"/>
    <x v="1"/>
    <s v="TIAGO PEREIRA FRANCA"/>
    <x v="15"/>
    <s v="SC.NORTE.JVE.12"/>
    <x v="2"/>
    <m/>
    <m/>
    <x v="1"/>
    <m/>
    <m/>
    <s v="problema sistema"/>
    <s v="NIO"/>
    <m/>
    <s v="JUNIOMAR MOCHNACZ"/>
    <s v="JOINVILLE"/>
    <m/>
    <m/>
    <m/>
  </r>
  <r>
    <s v="SC"/>
    <s v="TR790151"/>
    <s v="TT790151"/>
    <s v="EDINALDO RIBEIRO BENEDITO"/>
    <s v="TÉCNICO MULTIFUNCIONAL"/>
    <x v="0"/>
    <s v="TIAGO PEREIRA FRANCA"/>
    <x v="15"/>
    <s v="SC.NORTE.JVE.12"/>
    <x v="2"/>
    <m/>
    <m/>
    <x v="0"/>
    <m/>
    <m/>
    <m/>
    <s v="NIO | TIM | CP"/>
    <m/>
    <s v="JUNIOMAR MOCHNACZ"/>
    <s v="JOINVILLE"/>
    <m/>
    <m/>
    <m/>
  </r>
  <r>
    <s v="SC"/>
    <s v="TR535090"/>
    <s v="TT535090"/>
    <s v="EZIO SILVA CABRAL JUNIOR"/>
    <s v="TÉCNICO MULTIFUNCIONAL"/>
    <x v="1"/>
    <s v="TIAGO PEREIRA FRANCA"/>
    <x v="15"/>
    <s v="SC.NORTE.JVE.12"/>
    <x v="2"/>
    <m/>
    <m/>
    <x v="1"/>
    <m/>
    <m/>
    <m/>
    <s v="NIO"/>
    <m/>
    <s v="JUNIOMAR MOCHNACZ"/>
    <s v="JOINVILLE"/>
    <m/>
    <m/>
    <m/>
  </r>
  <r>
    <s v="SC"/>
    <s v="TR393853"/>
    <s v="TT818693"/>
    <s v="JOCENIR DA COSTA CHAVES"/>
    <s v="TÉCNICO MULTIFUNCIONAL"/>
    <x v="0"/>
    <s v="TIAGO PEREIRA FRANCA"/>
    <x v="15"/>
    <s v="SC.NORTE.JVE.12"/>
    <x v="0"/>
    <m/>
    <m/>
    <x v="0"/>
    <m/>
    <m/>
    <m/>
    <s v="NIO | TIM | CP"/>
    <m/>
    <s v="JUNIOMAR MOCHNACZ"/>
    <s v="JOINVILLE"/>
    <m/>
    <m/>
    <m/>
  </r>
  <r>
    <s v="SC"/>
    <s v="TR821741"/>
    <s v="TT828849"/>
    <s v="LUCAS PADILHA DOS SANTOS"/>
    <s v="TÉCNICO MULTIFUNCIONAL"/>
    <x v="1"/>
    <s v="TIAGO PEREIRA FRANCA"/>
    <x v="15"/>
    <s v="SC.NORTE.JVE.12"/>
    <x v="2"/>
    <m/>
    <m/>
    <x v="1"/>
    <m/>
    <m/>
    <m/>
    <s v="NIO"/>
    <m/>
    <s v="JUNIOMAR MOCHNACZ"/>
    <s v="JOINVILLE"/>
    <m/>
    <m/>
    <m/>
  </r>
  <r>
    <s v="SC"/>
    <s v="TR687177"/>
    <s v="TT687177"/>
    <s v="MARCOS PAULO DE BORBA"/>
    <s v="TÉCNICO MULTIFUNCIONAL"/>
    <x v="1"/>
    <s v="TIAGO PEREIRA FRANCA"/>
    <x v="15"/>
    <s v="SC.NORTE.JVE.12"/>
    <x v="2"/>
    <m/>
    <m/>
    <x v="1"/>
    <m/>
    <m/>
    <m/>
    <s v="NIO"/>
    <m/>
    <s v="JUNIOMAR MOCHNACZ"/>
    <s v="JOINVILLE"/>
    <m/>
    <m/>
    <m/>
  </r>
  <r>
    <s v="SC"/>
    <s v="TR408223"/>
    <s v="TT829090"/>
    <s v="MARCOS TAVARES"/>
    <s v="TÉCNICO MULTIFUNCIONAL"/>
    <x v="1"/>
    <s v="TIAGO PEREIRA FRANCA"/>
    <x v="15"/>
    <s v="SC.NORTE.JVE.12"/>
    <x v="2"/>
    <m/>
    <m/>
    <x v="1"/>
    <m/>
    <m/>
    <m/>
    <s v="NIO"/>
    <m/>
    <s v="JUNIOMAR MOCHNACZ"/>
    <s v="JOINVILLE"/>
    <m/>
    <m/>
    <m/>
  </r>
  <r>
    <s v="SC"/>
    <s v="TR819189"/>
    <s v="TT822113"/>
    <s v="RAFAEL RAUL SANTOS"/>
    <s v="TÉCNICO MULTIFUNCIONAL"/>
    <x v="0"/>
    <s v="TIAGO PEREIRA FRANCA"/>
    <x v="15"/>
    <s v="SC.NORTE.JVE.12"/>
    <x v="2"/>
    <m/>
    <m/>
    <x v="0"/>
    <m/>
    <m/>
    <s v="Plantão até 12h"/>
    <s v="NIO | TIM | CP"/>
    <m/>
    <s v="JUNIOMAR MOCHNACZ"/>
    <s v="JOINVILLE"/>
    <m/>
    <m/>
    <m/>
  </r>
  <r>
    <s v="SC"/>
    <s v="TR383337"/>
    <s v="TT829510"/>
    <s v="RODRIGO ROSA DA CONCEICAO"/>
    <s v="TÉCNICO MULTIFUNCIONAL"/>
    <x v="1"/>
    <s v="TIAGO PEREIRA FRANCA"/>
    <x v="15"/>
    <s v="SC.VL2.IAI.11"/>
    <x v="2"/>
    <s v="Duplado"/>
    <s v="Baixa"/>
    <x v="1"/>
    <m/>
    <m/>
    <s v="Novato"/>
    <s v="NIO"/>
    <m/>
    <s v="JUNIOMAR MOCHNACZ"/>
    <s v="JOINVILLE"/>
    <m/>
    <m/>
    <m/>
  </r>
  <r>
    <s v="SC"/>
    <s v="TR810589"/>
    <s v="TT822591"/>
    <s v="RONNIE JOSE GRANADO DELGADO"/>
    <s v="TÉCNICO MULTIFUNCIONAL"/>
    <x v="0"/>
    <s v="TIAGO PEREIRA FRANCA"/>
    <x v="15"/>
    <s v="SC.NORTE.JVE.12"/>
    <x v="2"/>
    <m/>
    <m/>
    <x v="0"/>
    <m/>
    <m/>
    <s v="Não compareceu ao Plantão 14/03"/>
    <s v="NIO | TIM | CP"/>
    <m/>
    <s v="JUNIOMAR MOCHNACZ"/>
    <s v="JOINVILLE"/>
    <m/>
    <m/>
    <m/>
  </r>
  <r>
    <s v="SC"/>
    <s v="TR634889"/>
    <s v="TT634889"/>
    <s v="THAFNYS DOS SANTOS ORTEGA"/>
    <s v="TÉCNICO MULTIFUNCIONAL"/>
    <x v="1"/>
    <s v="TIAGO PEREIRA FRANCA"/>
    <x v="15"/>
    <s v="SC.NORTE.JVE.12"/>
    <x v="2"/>
    <m/>
    <m/>
    <x v="1"/>
    <m/>
    <m/>
    <s v="colher material"/>
    <s v="NIO | TIM"/>
    <m/>
    <s v="JUNIOMAR MOCHNACZ"/>
    <s v="JOINVILLE"/>
    <m/>
    <m/>
    <m/>
  </r>
  <r>
    <s v="SC"/>
    <s v="TR798462"/>
    <s v="TT798462"/>
    <s v="THIAGO AZEVEDO MORENO"/>
    <s v="TÉCNICO MULTIFUNCIONAL"/>
    <x v="0"/>
    <s v="TIAGO PEREIRA FRANCA"/>
    <x v="15"/>
    <s v="SC.NORTE.JVE.12"/>
    <x v="2"/>
    <m/>
    <m/>
    <x v="0"/>
    <m/>
    <m/>
    <m/>
    <s v="NIO | TIM"/>
    <m/>
    <s v="JUNIOMAR MOCHNACZ"/>
    <s v="JOINVILLE"/>
    <m/>
    <m/>
    <m/>
  </r>
  <r>
    <s v="SC"/>
    <s v="TR798463"/>
    <s v="TT798463"/>
    <s v="TIAGO TAVARES"/>
    <s v="TÉCNICO MULTIFUNCIONAL"/>
    <x v="0"/>
    <s v="TIAGO PEREIRA FRANCA"/>
    <x v="15"/>
    <s v="SC.NORTE.JVE.12"/>
    <x v="0"/>
    <m/>
    <m/>
    <x v="0"/>
    <m/>
    <m/>
    <m/>
    <s v="NIO | TIM | CP"/>
    <m/>
    <s v="JUNIOMAR MOCHNACZ"/>
    <s v="JOINVILLE"/>
    <m/>
    <m/>
    <m/>
  </r>
  <r>
    <s v="SC"/>
    <s v="TR751389"/>
    <s v="TT751389"/>
    <s v="VITOR AUGUSTO DIAS CAMARA"/>
    <s v="TÉCNICO MULTIFUNCIONAL"/>
    <x v="1"/>
    <s v="TIAGO PEREIRA FRANCA"/>
    <x v="15"/>
    <s v="SC.NORTE.JVE.12"/>
    <x v="2"/>
    <m/>
    <m/>
    <x v="1"/>
    <m/>
    <m/>
    <m/>
    <s v="NIO"/>
    <m/>
    <s v="JUNIOMAR MOCHNACZ"/>
    <s v="JOINVILLE"/>
    <m/>
    <m/>
    <m/>
  </r>
  <r>
    <s v="SC"/>
    <s v="TR819638"/>
    <s v="TT822852"/>
    <s v="WILDERLEI DOS SANTOS DE CARVALHO"/>
    <s v="TÉCNICO MULTIFUNCIONAL"/>
    <x v="2"/>
    <s v="TIAGO PEREIRA FRANCA"/>
    <x v="15"/>
    <s v="SC.NORTE.JVE.12"/>
    <x v="2"/>
    <m/>
    <m/>
    <x v="2"/>
    <m/>
    <m/>
    <m/>
    <s v="NIO"/>
    <m/>
    <s v="JUNIOMAR MOCHNACZ"/>
    <s v="JOINVILLE"/>
    <m/>
    <m/>
    <m/>
  </r>
  <r>
    <s v="SC"/>
    <s v="TR632093"/>
    <s v="TT632093"/>
    <s v="WILLIAMS JOSE SILVA DOS SANTOS"/>
    <s v="TÉCNICO MULTIFUNCIONAL"/>
    <x v="1"/>
    <s v="TIAGO PEREIRA FRANCA"/>
    <x v="15"/>
    <s v="SC.NORTE.JVE.12"/>
    <x v="2"/>
    <m/>
    <m/>
    <x v="1"/>
    <m/>
    <m/>
    <m/>
    <s v="NIO"/>
    <m/>
    <s v="JUNIOMAR MOCHNACZ"/>
    <s v="ITAJAI"/>
    <m/>
    <m/>
    <m/>
  </r>
  <r>
    <s v="SC"/>
    <s v="TR819007"/>
    <s v="TT821636"/>
    <s v="ANDRE ROLDAO"/>
    <s v="TÉCNICO MULTIFUNCIONAL"/>
    <x v="0"/>
    <s v="TIAGO PEREIRA FRANCA"/>
    <x v="15"/>
    <s v="SC.NORTE.JVE.12"/>
    <x v="0"/>
    <m/>
    <m/>
    <x v="0"/>
    <m/>
    <m/>
    <m/>
    <s v="NIO | TIM | CP"/>
    <m/>
    <s v="JUNIOMAR MOCHNACZ"/>
    <s v="BLUMENAU"/>
    <m/>
    <m/>
    <m/>
  </r>
  <r>
    <s v="SC"/>
    <s v="TR044101"/>
    <s v="TT827898"/>
    <s v="CLAUDINEI DA SILVA HERCULANO"/>
    <s v="TÉCNICO MULTIFUNCIONAL"/>
    <x v="1"/>
    <s v="TIAGO PEREIRA FRANCA"/>
    <x v="15"/>
    <s v="SC.NORTE.JVE.12"/>
    <x v="0"/>
    <m/>
    <m/>
    <x v="1"/>
    <m/>
    <m/>
    <s v="problema celular"/>
    <s v="NIO"/>
    <m/>
    <s v="JUNIOMAR MOCHNACZ"/>
    <s v="JOINVILLE"/>
    <m/>
    <m/>
    <m/>
  </r>
  <r>
    <s v="SC"/>
    <s v="TR695691"/>
    <s v="TT695691"/>
    <s v="MAICON JUNIOR DUARTE"/>
    <s v="TÉCNICO MULTIFUNCIONAL"/>
    <x v="1"/>
    <s v="TIAGO PEREIRA FRANCA"/>
    <x v="15"/>
    <s v="SC.NORTE.JVE.12"/>
    <x v="2"/>
    <m/>
    <m/>
    <x v="1"/>
    <m/>
    <m/>
    <m/>
    <s v="NIO | CP"/>
    <m/>
    <s v="JUNIOMAR MOCHNACZ"/>
    <s v="JOINVILLE"/>
    <m/>
    <m/>
    <m/>
  </r>
  <r>
    <s v="SC"/>
    <s v="TR785766"/>
    <s v="TT785766"/>
    <s v="THALLES ALVES DE OLIVEIRA"/>
    <s v="TÉCNICO MULTIFUNCIONAL"/>
    <x v="0"/>
    <s v="WILLIAM DIAS VAZ"/>
    <x v="16"/>
    <s v="SC.VL1.BNU.12"/>
    <x v="2"/>
    <m/>
    <m/>
    <x v="0"/>
    <m/>
    <m/>
    <m/>
    <s v="NIO | TIM | CP"/>
    <m/>
    <s v="MAURI DUTRA"/>
    <s v="BLUMENAU"/>
    <m/>
    <m/>
    <m/>
  </r>
  <r>
    <s v="SC"/>
    <s v="TR608428"/>
    <s v="TT608428"/>
    <s v="ANDRE DE PROENCA"/>
    <s v="TÉCNICO MULTIFUNCIONAL"/>
    <x v="1"/>
    <s v="WILLIAM DIAS VAZ"/>
    <x v="17"/>
    <s v="SC.VL1.BNU.11"/>
    <x v="2"/>
    <m/>
    <m/>
    <x v="1"/>
    <m/>
    <m/>
    <m/>
    <s v="NIO"/>
    <m/>
    <s v="MAURI DUTRA"/>
    <s v="BLUMENAU"/>
    <m/>
    <m/>
    <m/>
  </r>
  <r>
    <s v="SC"/>
    <s v="TR821745"/>
    <s v="TT829088"/>
    <s v="ADRIANO DOS SANTOS GONCALVES"/>
    <s v="TÉCNICO MULTIFUNCIONAL"/>
    <x v="1"/>
    <s v="WILLIAM DIAS VAZ"/>
    <x v="17"/>
    <s v="SC.VL1.BNU.11"/>
    <x v="2"/>
    <m/>
    <m/>
    <x v="1"/>
    <d v="2026-03-16T00:00:00"/>
    <d v="2026-03-18T00:00:00"/>
    <m/>
    <s v="NIO"/>
    <m/>
    <s v="MAURI DUTRA"/>
    <s v="BLUMENAU"/>
    <m/>
    <m/>
    <m/>
  </r>
  <r>
    <s v="SC"/>
    <s v="TR182495"/>
    <s v="TT182495"/>
    <s v="ANDERSON FELIPE CALEGARI"/>
    <s v="TÉCNICO MULTIFUNCIONAL"/>
    <x v="0"/>
    <s v="WILLIAM DIAS VAZ"/>
    <x v="17"/>
    <s v="SC.VL1.BNU.11"/>
    <x v="0"/>
    <m/>
    <m/>
    <x v="0"/>
    <m/>
    <m/>
    <m/>
    <s v="NIO | TIM | CP"/>
    <m/>
    <s v="MAURI DUTRA"/>
    <s v="CRICIUMA"/>
    <m/>
    <m/>
    <m/>
  </r>
  <r>
    <s v="SC"/>
    <s v="TR535900"/>
    <s v="TT535900"/>
    <s v="ANDRE LUIS ALVES RANGEL"/>
    <s v="TÉCNICO MULTIFUNCIONAL"/>
    <x v="0"/>
    <s v="WILLIAM DIAS VAZ"/>
    <x v="17"/>
    <s v="SC.VL1.BNU.11"/>
    <x v="2"/>
    <m/>
    <m/>
    <x v="0"/>
    <m/>
    <m/>
    <m/>
    <s v="NIO | TIM | CP"/>
    <m/>
    <s v="MAURI DUTRA"/>
    <s v="BLUMENAU"/>
    <m/>
    <m/>
    <m/>
  </r>
  <r>
    <s v="SC"/>
    <s v="TR747901"/>
    <s v="TT817563"/>
    <s v="CAIO BENJO REIS"/>
    <s v="TÉCNICO MULTIFUNCIONAL"/>
    <x v="0"/>
    <s v="WILLIAM DIAS VAZ"/>
    <x v="17"/>
    <s v="SC.VL1.BNU.11"/>
    <x v="2"/>
    <m/>
    <m/>
    <x v="0"/>
    <m/>
    <m/>
    <m/>
    <s v="NIO | TIM | CP"/>
    <m/>
    <s v="MAURI DUTRA"/>
    <s v="BLUMENAU"/>
    <m/>
    <m/>
    <m/>
  </r>
  <r>
    <s v="SC"/>
    <s v="TR625056"/>
    <s v="TT625056"/>
    <s v="EDERSON PAZ CARRION"/>
    <s v="TÉCNICO MULTIFUNCIONAL"/>
    <x v="1"/>
    <s v="WILLIAM DIAS VAZ"/>
    <x v="17"/>
    <s v="SC.VL1.BNU.12"/>
    <x v="0"/>
    <m/>
    <m/>
    <x v="1"/>
    <d v="2026-03-31T00:00:00"/>
    <d v="2026-04-01T00:00:00"/>
    <m/>
    <s v="NIO"/>
    <m/>
    <s v="MAURI DUTRA"/>
    <s v="BLUMENAU"/>
    <m/>
    <m/>
    <m/>
  </r>
  <r>
    <s v="SC"/>
    <s v="TR821740"/>
    <s v="TT828848"/>
    <s v="LUCAS DE JESUS MARTINS"/>
    <s v="TÉCNICO MULTIFUNCIONAL"/>
    <x v="1"/>
    <s v="WILLIAM DIAS VAZ"/>
    <x v="17"/>
    <s v="SC.VL1.BNU.11"/>
    <x v="2"/>
    <m/>
    <m/>
    <x v="1"/>
    <m/>
    <m/>
    <m/>
    <s v="NIO | TIM"/>
    <m/>
    <s v="MAURI DUTRA"/>
    <s v="BLUMENAU"/>
    <m/>
    <m/>
    <m/>
  </r>
  <r>
    <s v="SC"/>
    <s v="TR709217"/>
    <s v="TT822850"/>
    <s v="MARCELO GOMES FREITAS"/>
    <s v="TÉCNICO MULTIFUNCIONAL"/>
    <x v="0"/>
    <s v="WILLIAM DIAS VAZ"/>
    <x v="17"/>
    <s v="SC.VL1.BNU.11"/>
    <x v="2"/>
    <m/>
    <m/>
    <x v="0"/>
    <m/>
    <m/>
    <m/>
    <s v="NIO | TIM"/>
    <m/>
    <s v="MAURI DUTRA"/>
    <s v="BLUMENAU"/>
    <m/>
    <m/>
    <m/>
  </r>
  <r>
    <s v="SC"/>
    <s v="TR821742"/>
    <s v="TT828852"/>
    <s v="MARCOS CORDEIRO DELGADO"/>
    <s v="TÉCNICO MULTIFUNCIONAL"/>
    <x v="1"/>
    <s v="WILLIAM DIAS VAZ"/>
    <x v="17"/>
    <s v="SC.VL1.BNU.11"/>
    <x v="2"/>
    <m/>
    <m/>
    <x v="1"/>
    <m/>
    <m/>
    <m/>
    <s v="NIO"/>
    <m/>
    <s v="MAURI DUTRA"/>
    <s v="BLUMENAU"/>
    <m/>
    <m/>
    <m/>
  </r>
  <r>
    <s v="SC"/>
    <s v="TR645842"/>
    <s v="TT645842"/>
    <s v="MATEUS FERNANDES DE SOUZA"/>
    <s v="TÉCNICO MULTIFUNCIONAL"/>
    <x v="0"/>
    <s v="WILLIAM DIAS VAZ"/>
    <x v="17"/>
    <s v="SC.VL1.BNU.11"/>
    <x v="2"/>
    <m/>
    <m/>
    <x v="0"/>
    <m/>
    <m/>
    <m/>
    <s v="NIO"/>
    <m/>
    <s v="MAURI DUTRA"/>
    <s v="BLUMENAU"/>
    <m/>
    <m/>
    <m/>
  </r>
  <r>
    <s v="SC"/>
    <s v="TR821815"/>
    <s v="TT829724"/>
    <s v="PAULO ROBERTO DOS SANTOS MORAES"/>
    <s v="TÉCNICO MULTIFUNCIONAL"/>
    <x v="1"/>
    <s v="WILLIAM DIAS VAZ"/>
    <x v="17"/>
    <s v="SC.VL1.BNU.11"/>
    <x v="2"/>
    <m/>
    <m/>
    <x v="1"/>
    <m/>
    <m/>
    <m/>
    <s v="NIO"/>
    <m/>
    <s v="MAURI DUTRA"/>
    <s v="BLUMENAU"/>
    <m/>
    <m/>
    <m/>
  </r>
  <r>
    <s v="SC"/>
    <s v="TR738178"/>
    <s v="TT738178"/>
    <s v="THIAGO SCHUMANN BAMFI"/>
    <s v="TÉCNICO MULTIFUNCIONAL"/>
    <x v="0"/>
    <s v="WILLIAM DIAS VAZ"/>
    <x v="17"/>
    <s v="SC.VL1.BNU.11"/>
    <x v="2"/>
    <m/>
    <m/>
    <x v="0"/>
    <m/>
    <m/>
    <m/>
    <s v="NIO | TIM | CP"/>
    <m/>
    <s v="MAURI DUTRA"/>
    <s v="BLUMENAU"/>
    <m/>
    <m/>
    <m/>
  </r>
  <r>
    <s v="SC"/>
    <s v="TR699694"/>
    <s v="TT699694"/>
    <s v="DAVID FERNANDES DOS SANTOS"/>
    <s v="TÉCNICO MULTIFUNCIONAL"/>
    <x v="0"/>
    <s v="WILLIAM DIAS VAZ"/>
    <x v="16"/>
    <s v="SC.VL1.BNU.12"/>
    <x v="0"/>
    <m/>
    <m/>
    <x v="0"/>
    <m/>
    <m/>
    <m/>
    <s v="NIO | TIM"/>
    <m/>
    <s v="MAURI DUTRA"/>
    <s v="BLUMENAU"/>
    <m/>
    <m/>
    <m/>
  </r>
  <r>
    <s v="SC"/>
    <s v="TR498678"/>
    <s v="TT498678"/>
    <s v="GIAM PIHETRO JEFTE SOARES DA SILVA"/>
    <s v="TÉCNICO MULTIFUNCIONAL"/>
    <x v="1"/>
    <s v="WILLIAM DIAS VAZ"/>
    <x v="16"/>
    <s v="SC.VL1.BNU.12"/>
    <x v="0"/>
    <m/>
    <m/>
    <x v="1"/>
    <m/>
    <m/>
    <s v="Gestech"/>
    <s v="NIO"/>
    <m/>
    <s v="MAURI DUTRA"/>
    <s v="BLUMENAU"/>
    <m/>
    <m/>
    <m/>
  </r>
  <r>
    <s v="SC"/>
    <s v="TR736827"/>
    <s v="TT736827"/>
    <s v="JOAO PAULO MERETIKA"/>
    <s v="TÉCNICO MULTIFUNCIONAL"/>
    <x v="1"/>
    <s v="WILLIAM DIAS VAZ"/>
    <x v="16"/>
    <s v="SC.VL1.BNU.12"/>
    <x v="0"/>
    <m/>
    <m/>
    <x v="1"/>
    <m/>
    <m/>
    <s v="Plantão até 12h"/>
    <s v="NIO"/>
    <m/>
    <s v="MAURI DUTRA"/>
    <s v="BLUMENAU"/>
    <m/>
    <m/>
    <m/>
  </r>
  <r>
    <s v="SC"/>
    <s v="TR802948"/>
    <s v="TT802948"/>
    <s v="MARCOS ROBERTO CORREA DA SILVA"/>
    <s v="TÉCNICO MULTIFUNCIONAL"/>
    <x v="0"/>
    <s v="WILLIAM DIAS VAZ"/>
    <x v="16"/>
    <s v="SC.VL1.BNU.12"/>
    <x v="2"/>
    <m/>
    <m/>
    <x v="0"/>
    <d v="2026-03-16T00:00:00"/>
    <d v="2026-03-18T00:00:00"/>
    <m/>
    <s v="NIO"/>
    <m/>
    <s v="MAURI DUTRA"/>
    <s v="BLUMENAU"/>
    <m/>
    <m/>
    <m/>
  </r>
  <r>
    <s v="SC"/>
    <s v="TR682777"/>
    <s v="TT682777"/>
    <s v="RONALD RIBAS DE RIBAS"/>
    <s v="TÉCNICO MULTIFUNCIONAL"/>
    <x v="0"/>
    <s v="WILLIAM DIAS VAZ"/>
    <x v="16"/>
    <s v="SC.VL1.BNU.12"/>
    <x v="2"/>
    <m/>
    <m/>
    <x v="0"/>
    <d v="2026-03-24T00:00:00"/>
    <d v="2026-03-25T00:00:00"/>
    <m/>
    <s v="NIO | TIM | CP"/>
    <m/>
    <s v="MAURI DUTRA"/>
    <s v="BLUMENAU"/>
    <m/>
    <m/>
    <m/>
  </r>
  <r>
    <s v="SC"/>
    <s v="TR800405"/>
    <s v="TT800405"/>
    <s v="THIAGO TONN"/>
    <s v="TÉCNICO MULTIFUNCIONAL"/>
    <x v="0"/>
    <s v="WILLIAM DIAS VAZ"/>
    <x v="16"/>
    <s v="SC.VL1.BNU.12"/>
    <x v="0"/>
    <m/>
    <m/>
    <x v="0"/>
    <m/>
    <m/>
    <s v="Plantão até 12h"/>
    <s v="NIO | TIM"/>
    <m/>
    <s v="MAURI DUTRA"/>
    <s v="BLUMENAU"/>
    <m/>
    <m/>
    <m/>
  </r>
  <r>
    <s v="SC"/>
    <s v="TR010661"/>
    <s v="TT010661"/>
    <s v="DOMENICO CISZ"/>
    <s v="TÉCNICO MULTIFUNCIONAL"/>
    <x v="1"/>
    <s v="WILLIAM DIAS VAZ"/>
    <x v="16"/>
    <s v="SC.VL1.BNU.12"/>
    <x v="2"/>
    <m/>
    <m/>
    <x v="1"/>
    <m/>
    <m/>
    <m/>
    <s v="NIO"/>
    <m/>
    <s v="MAURI DUTRA"/>
    <s v="BLUMENAU"/>
    <m/>
    <m/>
    <m/>
  </r>
  <r>
    <s v="SC"/>
    <s v="TR819629"/>
    <s v="TT822847"/>
    <s v="EDUARDO DANIEL KUHNEN"/>
    <s v="TÉCNICO MULTIFUNCIONAL"/>
    <x v="0"/>
    <s v="WILLIAM DIAS VAZ"/>
    <x v="16"/>
    <s v="SC.VL1.BNU.11"/>
    <x v="2"/>
    <m/>
    <m/>
    <x v="0"/>
    <m/>
    <m/>
    <m/>
    <s v="NIO | TIM"/>
    <m/>
    <s v="MAURI DUTRA"/>
    <s v="BLUMENAU"/>
    <m/>
    <m/>
    <m/>
  </r>
  <r>
    <s v="SC"/>
    <s v="TR647818"/>
    <s v="TT647818"/>
    <s v="FELIPE RIZZOTTO"/>
    <s v="TÉCNICO MULTIFUNCIONAL"/>
    <x v="0"/>
    <s v="WILLIAM DIAS VAZ"/>
    <x v="16"/>
    <s v="SC.VL1.BNU.12"/>
    <x v="2"/>
    <m/>
    <m/>
    <x v="0"/>
    <m/>
    <m/>
    <m/>
    <s v="NIO | TIM"/>
    <m/>
    <s v="MAURI DUTRA"/>
    <s v="BLUMENAU"/>
    <m/>
    <m/>
    <m/>
  </r>
  <r>
    <s v="SC"/>
    <s v="TR789009"/>
    <s v="TT789009"/>
    <s v="JHON JARLEI OROBIO GAMBOA"/>
    <s v="TÉCNICO MULTIFUNCIONAL"/>
    <x v="1"/>
    <s v="WILLIAM DIAS VAZ"/>
    <x v="16"/>
    <s v="SC.VL1.BNU.12"/>
    <x v="2"/>
    <m/>
    <m/>
    <x v="1"/>
    <m/>
    <m/>
    <m/>
    <s v="NIO"/>
    <m/>
    <s v="MAURI DUTRA"/>
    <s v="INDAIAL"/>
    <m/>
    <m/>
    <m/>
  </r>
  <r>
    <s v="SC"/>
    <s v="TT119205"/>
    <s v="TT119205"/>
    <s v="VALDECIR MOTTA"/>
    <s v="TÉCNICO MULTIFUNCIONAL"/>
    <x v="1"/>
    <s v="WILLIAM DIAS VAZ"/>
    <x v="16"/>
    <s v="SC.VL1.BNU.12"/>
    <x v="0"/>
    <m/>
    <m/>
    <x v="1"/>
    <m/>
    <m/>
    <m/>
    <s v="NIO"/>
    <m/>
    <s v="MAURI DUTRA"/>
    <s v="GUABIRUBA"/>
    <m/>
    <m/>
    <m/>
  </r>
  <r>
    <s v="SC"/>
    <s v="TR619042"/>
    <s v="TT619042"/>
    <s v="CARLOS ANTONIO POSSAMAI"/>
    <s v="TÉCNICO MULTIFUNCIONAL"/>
    <x v="0"/>
    <s v="WILLIAM DIAS VAZ"/>
    <x v="18"/>
    <s v="SC.VL1.RSL.11"/>
    <x v="2"/>
    <m/>
    <m/>
    <x v="0"/>
    <m/>
    <m/>
    <m/>
    <s v="NIO | TIM | CP"/>
    <m/>
    <s v="MAURI DUTRA"/>
    <s v="BRUSQUE"/>
    <m/>
    <m/>
    <m/>
  </r>
  <r>
    <s v="SC"/>
    <s v="TR821242"/>
    <s v="TT826816"/>
    <s v="EMERSON ACACIO NAZARIO"/>
    <s v="TÉCNICO MULTIFUNCIONAL"/>
    <x v="0"/>
    <s v="WILLIAM DIAS VAZ"/>
    <x v="18"/>
    <s v="SC.VL1.RSL.11"/>
    <x v="2"/>
    <m/>
    <m/>
    <x v="0"/>
    <m/>
    <m/>
    <m/>
    <s v="NIO | TIM"/>
    <m/>
    <s v="MAURI DUTRA"/>
    <s v="BRUSQUE"/>
    <m/>
    <m/>
    <m/>
  </r>
  <r>
    <s v="SC"/>
    <s v="TR818956"/>
    <s v="TT821512"/>
    <s v="CARLOS DINIZ DA SILVA"/>
    <s v="TÉCNICO MULTIFUNCIONAL"/>
    <x v="0"/>
    <s v="WILLIAM DIAS VAZ"/>
    <x v="16"/>
    <s v="SC.VL1.BNU.12"/>
    <x v="0"/>
    <m/>
    <m/>
    <x v="0"/>
    <d v="2026-03-29T00:00:00"/>
    <m/>
    <m/>
    <s v="NIO | TIM | CP"/>
    <m/>
    <s v="MAURI DUTRA"/>
    <s v="BLUMENAU"/>
    <m/>
    <m/>
    <m/>
  </r>
  <r>
    <s v="SC"/>
    <s v="TR652541"/>
    <s v="TT652541"/>
    <s v="ELIAS ABREU DA SILVA"/>
    <s v="TECNICO DADOS I"/>
    <x v="1"/>
    <s v="WILLIAM DIAS VAZ"/>
    <x v="17"/>
    <s v="SC.VL1.BNU.11"/>
    <x v="3"/>
    <s v="Técnico de Dados"/>
    <s v="Baixa"/>
    <x v="1"/>
    <m/>
    <m/>
    <m/>
    <s v="NIO"/>
    <m/>
    <s v="JUNIOMAR MOCHNACZ"/>
    <s v="BLUMENAU"/>
    <m/>
    <m/>
    <m/>
  </r>
  <r>
    <s v="SC"/>
    <s v="TR579478"/>
    <s v="TT579478"/>
    <s v="ODILON VAGNER DE SOUZA CAMPOS"/>
    <s v="TÉCNICO DADOS II"/>
    <x v="1"/>
    <s v="WILLIAM DIAS VAZ"/>
    <x v="18"/>
    <s v="SC.VL1.RSL.11"/>
    <x v="3"/>
    <s v="Técnico de Dados"/>
    <s v="Baixa"/>
    <x v="1"/>
    <m/>
    <m/>
    <m/>
    <s v="NIO"/>
    <m/>
    <s v="JUNIOMAR MOCHNACZ"/>
    <s v="RIO DO SUL"/>
    <m/>
    <m/>
    <m/>
  </r>
  <r>
    <s v="SC"/>
    <s v="TR679747"/>
    <s v="TT679747"/>
    <s v="FREDERICO STUMPF"/>
    <s v="TÉCNICO MULTIFUNCIONAL"/>
    <x v="0"/>
    <s v="WILLIAM DIAS VAZ"/>
    <x v="17"/>
    <s v="SC.VL1.BNU.11"/>
    <x v="2"/>
    <m/>
    <m/>
    <x v="0"/>
    <m/>
    <m/>
    <m/>
    <s v="NIO | TIM | CP"/>
    <m/>
    <s v="MAURI DUTRA"/>
    <s v="BLUMENAU"/>
    <m/>
    <m/>
    <m/>
  </r>
  <r>
    <s v="SC"/>
    <s v="TR578775"/>
    <s v="TT578775"/>
    <s v="CLOVIS GOIS"/>
    <s v="TÉCNICO MULTIFUNCIONAL"/>
    <x v="0"/>
    <s v="WILLIAM DIAS VAZ"/>
    <x v="16"/>
    <s v="SC.VL1.BNU.12"/>
    <x v="5"/>
    <m/>
    <m/>
    <x v="0"/>
    <d v="2026-03-31T00:00:00"/>
    <d v="2026-04-05T00:00:00"/>
    <m/>
    <s v="NIO | TIM | CP"/>
    <m/>
    <s v="MAURI DUTRA"/>
    <s v="BLUMENAU"/>
    <m/>
    <m/>
    <m/>
  </r>
  <r>
    <s v="SC"/>
    <s v="TR817748"/>
    <s v="TT817614"/>
    <s v="HUGO SANTOS DALTRO"/>
    <s v="TÉCNICO MULTIFUNCIONAL"/>
    <x v="0"/>
    <s v="WILLIAM DIAS VAZ"/>
    <x v="17"/>
    <s v="SC.VL1.BNU.11"/>
    <x v="0"/>
    <m/>
    <m/>
    <x v="0"/>
    <m/>
    <m/>
    <m/>
    <s v="NIO | TIM | CP"/>
    <m/>
    <s v="MAURI DUTRA"/>
    <s v="BLUMENAU"/>
    <m/>
    <m/>
    <m/>
  </r>
  <r>
    <s v="SC"/>
    <s v="TR571422"/>
    <s v="TT823208"/>
    <s v="MARILDO ALEXSANDRO CRESTANI"/>
    <s v="TÉCNICO MULTIFUNCIONAL"/>
    <x v="0"/>
    <s v="WILLIAM DIAS VAZ"/>
    <x v="17"/>
    <s v="SC.VL1.BNU.11"/>
    <x v="0"/>
    <m/>
    <m/>
    <x v="0"/>
    <m/>
    <m/>
    <m/>
    <s v="NIO | TIM | CP"/>
    <m/>
    <s v="MAURI DUTRA"/>
    <s v="BLUMENAU"/>
    <m/>
    <m/>
    <m/>
  </r>
  <r>
    <s v="SC"/>
    <s v="TR709235"/>
    <s v="TT824641"/>
    <s v="ANDERSON RODRIGO DA COSTA"/>
    <s v="TÉCNICO MULTIFUNCIONAL"/>
    <x v="0"/>
    <s v="WILLIAM DIAS VAZ"/>
    <x v="16"/>
    <s v="SC.VL1.BNU.12"/>
    <x v="0"/>
    <m/>
    <m/>
    <x v="0"/>
    <m/>
    <m/>
    <m/>
    <s v="NIO | TIM"/>
    <m/>
    <s v="MAURI DUTRA"/>
    <s v="BLUMENAU"/>
    <m/>
    <m/>
    <m/>
  </r>
  <r>
    <s v="SC"/>
    <n v="0"/>
    <s v="TT647820"/>
    <s v="JOSENIR PEREIRA FILHO"/>
    <s v="TÉCNICO MULTIFUNCIONAL"/>
    <x v="1"/>
    <s v="WILLIAM DIAS VAZ"/>
    <x v="16"/>
    <s v="SC.VL1.BNU.11"/>
    <x v="6"/>
    <m/>
    <m/>
    <x v="1"/>
    <m/>
    <m/>
    <m/>
    <s v="NIO"/>
    <m/>
    <s v="MAURI DUTRA"/>
    <s v="BLUMENAU"/>
    <m/>
    <m/>
    <m/>
  </r>
  <r>
    <s v="SC"/>
    <n v="8"/>
    <n v="8"/>
    <s v="EULY DE OLIVEIRA ROLON RIBEIRO"/>
    <s v="TÉCNICO MULTIFUNCIONAL"/>
    <x v="1"/>
    <s v="ROBERTO DE SOUZA JUNIOR"/>
    <x v="13"/>
    <s v="SC.VL2.IAI.11"/>
    <x v="7"/>
    <m/>
    <m/>
    <x v="3"/>
    <m/>
    <m/>
    <m/>
    <m/>
    <m/>
    <s v="JUNIOMAR MOCHNACZ"/>
    <m/>
    <m/>
    <m/>
    <m/>
  </r>
  <r>
    <s v="SC"/>
    <n v="7"/>
    <n v="7"/>
    <s v="ANDERSON ROBERTO BRUCH"/>
    <s v="TÉCNICO MULTIFUNCIONAL"/>
    <x v="1"/>
    <s v="ROBERTO DE SOUZA JUNIOR"/>
    <x v="13"/>
    <s v="SC.VL2.IAI.11"/>
    <x v="7"/>
    <m/>
    <m/>
    <x v="3"/>
    <m/>
    <m/>
    <m/>
    <m/>
    <m/>
    <s v="JUNIOMAR MOCHNACZ"/>
    <m/>
    <m/>
    <m/>
    <m/>
  </r>
  <r>
    <s v="SC"/>
    <n v="6"/>
    <n v="6"/>
    <s v="JOCILANILTON RIBEIRO DOS SANTOS"/>
    <s v="TÉCNICO MULTIFUNCIONAL"/>
    <x v="1"/>
    <s v="ROBERTO DE SOUZA JUNIOR"/>
    <x v="13"/>
    <s v="SC.VL2.IAI.11"/>
    <x v="7"/>
    <m/>
    <m/>
    <x v="3"/>
    <m/>
    <m/>
    <m/>
    <m/>
    <m/>
    <s v="JUNIOMAR MOCHNACZ"/>
    <m/>
    <m/>
    <m/>
    <m/>
  </r>
  <r>
    <m/>
    <m/>
    <m/>
    <m/>
    <m/>
    <x v="3"/>
    <m/>
    <x v="19"/>
    <m/>
    <x v="2"/>
    <m/>
    <m/>
    <x v="3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4D52B1-B4CA-4CAA-A110-9ABCE04A9D0B}" name="Tabela dinâmica1" cacheId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Setores" colHeaderCaption="Operadoras">
  <location ref="A6:E25" firstHeaderRow="1" firstDataRow="2" firstDataCol="1"/>
  <pivotFields count="23"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h="1" x="3"/>
        <item t="default"/>
      </items>
    </pivotField>
    <pivotField showAll="0"/>
    <pivotField axis="axisRow" showAll="0">
      <items count="21">
        <item x="11"/>
        <item x="3"/>
        <item x="4"/>
        <item x="12"/>
        <item x="8"/>
        <item x="15"/>
        <item x="10"/>
        <item x="9"/>
        <item x="5"/>
        <item x="6"/>
        <item x="7"/>
        <item x="17"/>
        <item x="16"/>
        <item x="14"/>
        <item x="18"/>
        <item x="0"/>
        <item x="13"/>
        <item x="1"/>
        <item x="2"/>
        <item x="19"/>
        <item t="default"/>
      </items>
    </pivotField>
    <pivotField showAll="0"/>
    <pivotField showAll="0">
      <items count="11">
        <item h="1" x="4"/>
        <item h="1" x="5"/>
        <item h="1" x="1"/>
        <item h="1" x="6"/>
        <item h="1" m="1" x="9"/>
        <item h="1" x="0"/>
        <item h="1" m="1" x="8"/>
        <item h="1" x="3"/>
        <item h="1" x="7"/>
        <item x="2"/>
        <item t="default"/>
      </items>
    </pivotField>
    <pivotField showAll="0"/>
    <pivotField showAll="0"/>
    <pivotField axis="axisCol" dataField="1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6"/>
    </i>
    <i>
      <x v="17"/>
    </i>
    <i>
      <x v="18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-" fld="12" subtotal="count" baseField="0" baseItem="0"/>
  </dataFields>
  <formats count="10">
    <format dxfId="263">
      <pivotArea outline="0" collapsedLevelsAreSubtotals="1" fieldPosition="0"/>
    </format>
    <format dxfId="262">
      <pivotArea field="12" type="button" dataOnly="0" labelOnly="1" outline="0" axis="axisCol" fieldPosition="0"/>
    </format>
    <format dxfId="261">
      <pivotArea type="topRight" dataOnly="0" labelOnly="1" outline="0" fieldPosition="0"/>
    </format>
    <format dxfId="260">
      <pivotArea dataOnly="0" labelOnly="1" fieldPosition="0">
        <references count="1">
          <reference field="12" count="0"/>
        </references>
      </pivotArea>
    </format>
    <format dxfId="259">
      <pivotArea dataOnly="0" labelOnly="1" grandCol="1" outline="0" fieldPosition="0"/>
    </format>
    <format dxfId="258">
      <pivotArea outline="0" collapsedLevelsAreSubtotals="1" fieldPosition="0"/>
    </format>
    <format dxfId="257">
      <pivotArea field="12" type="button" dataOnly="0" labelOnly="1" outline="0" axis="axisCol" fieldPosition="0"/>
    </format>
    <format dxfId="256">
      <pivotArea type="topRight" dataOnly="0" labelOnly="1" outline="0" fieldPosition="0"/>
    </format>
    <format dxfId="255">
      <pivotArea dataOnly="0" labelOnly="1" fieldPosition="0">
        <references count="1">
          <reference field="12" count="0"/>
        </references>
      </pivotArea>
    </format>
    <format dxfId="254">
      <pivotArea dataOnly="0" labelOnly="1" grandCol="1" outline="0" fieldPosition="0"/>
    </format>
  </formats>
  <pivotTableStyleInfo name="PivotStyleLight1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723CBF-9B87-4EE9-A873-FF66D9FF6D7A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S3:AG26" firstHeaderRow="1" firstDataRow="3" firstDataCol="1" rowPageCount="1" colPageCount="1"/>
  <pivotFields count="12">
    <pivotField showAll="0"/>
    <pivotField showAll="0"/>
    <pivotField showAll="0"/>
    <pivotField showAll="0"/>
    <pivotField showAll="0"/>
    <pivotField axis="axisRow" showAll="0">
      <items count="10">
        <item x="7"/>
        <item x="4"/>
        <item x="0"/>
        <item x="8"/>
        <item x="1"/>
        <item x="2"/>
        <item x="5"/>
        <item x="6"/>
        <item x="3"/>
        <item t="default"/>
      </items>
    </pivotField>
    <pivotField showAll="0"/>
    <pivotField axis="axisPage" multipleItemSelectionAllowed="1" showAll="0">
      <items count="6">
        <item h="1" x="3"/>
        <item x="0"/>
        <item h="1" x="4"/>
        <item h="1" x="2"/>
        <item h="1" x="1"/>
        <item t="default"/>
      </items>
    </pivotField>
    <pivotField axis="axisRow" dataField="1" showAll="0">
      <items count="3">
        <item x="1"/>
        <item x="0"/>
        <item t="default"/>
      </items>
    </pivotField>
    <pivotField axis="axisRow" showAll="0">
      <items count="9">
        <item m="1" x="7"/>
        <item m="1" x="5"/>
        <item m="1" x="6"/>
        <item x="0"/>
        <item x="1"/>
        <item x="2"/>
        <item x="4"/>
        <item x="3"/>
        <item t="default"/>
      </items>
    </pivotField>
    <pivotField axis="axisCol" showAll="0">
      <items count="13">
        <item m="1" x="10"/>
        <item x="0"/>
        <item x="2"/>
        <item x="4"/>
        <item x="3"/>
        <item m="1" x="11"/>
        <item x="5"/>
        <item x="1"/>
        <item x="6"/>
        <item x="7"/>
        <item m="1" x="9"/>
        <item x="8"/>
        <item t="default"/>
      </items>
    </pivotField>
    <pivotField axis="axisCol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x="10"/>
        <item x="11"/>
        <item x="12"/>
        <item sd="0" x="13"/>
        <item sd="0" x="14"/>
        <item x="15"/>
        <item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3">
    <field x="8"/>
    <field x="5"/>
    <field x="9"/>
  </rowFields>
  <rowItems count="21">
    <i>
      <x/>
    </i>
    <i r="1">
      <x v="1"/>
    </i>
    <i r="2">
      <x v="4"/>
    </i>
    <i r="2">
      <x v="5"/>
    </i>
    <i r="2">
      <x v="7"/>
    </i>
    <i r="1">
      <x v="5"/>
    </i>
    <i r="2">
      <x v="3"/>
    </i>
    <i r="2">
      <x v="5"/>
    </i>
    <i r="1">
      <x v="6"/>
    </i>
    <i r="2">
      <x v="4"/>
    </i>
    <i r="1">
      <x v="8"/>
    </i>
    <i r="2">
      <x v="4"/>
    </i>
    <i>
      <x v="1"/>
    </i>
    <i r="1">
      <x v="2"/>
    </i>
    <i r="2">
      <x v="3"/>
    </i>
    <i r="1">
      <x v="4"/>
    </i>
    <i r="2">
      <x v="3"/>
    </i>
    <i r="1">
      <x v="7"/>
    </i>
    <i r="2">
      <x v="5"/>
    </i>
    <i r="2">
      <x v="7"/>
    </i>
    <i t="grand">
      <x/>
    </i>
  </rowItems>
  <colFields count="2">
    <field x="11"/>
    <field x="10"/>
  </colFields>
  <colItems count="14">
    <i>
      <x v="10"/>
      <x v="1"/>
    </i>
    <i t="default">
      <x v="10"/>
    </i>
    <i>
      <x v="11"/>
      <x v="2"/>
    </i>
    <i r="1">
      <x v="3"/>
    </i>
    <i t="default">
      <x v="11"/>
    </i>
    <i>
      <x v="12"/>
      <x v="4"/>
    </i>
    <i t="default">
      <x v="12"/>
    </i>
    <i>
      <x v="15"/>
      <x v="6"/>
    </i>
    <i r="1">
      <x v="7"/>
    </i>
    <i t="default">
      <x v="15"/>
    </i>
    <i>
      <x v="16"/>
      <x v="8"/>
    </i>
    <i r="1">
      <x v="9"/>
    </i>
    <i t="default">
      <x v="16"/>
    </i>
    <i t="grand">
      <x/>
    </i>
  </colItems>
  <pageFields count="1">
    <pageField fld="7" hier="-1"/>
  </pageFields>
  <dataFields count="1">
    <dataField name="Contagem de COORDENADOR" fld="8" subtotal="count" baseField="0" baseItem="0"/>
  </dataFields>
  <formats count="4">
    <format dxfId="249">
      <pivotArea outline="0" collapsedLevelsAreSubtotals="1" fieldPosition="0"/>
    </format>
    <format dxfId="248">
      <pivotArea dataOnly="0" labelOnly="1" outline="0" axis="axisValues" fieldPosition="0"/>
    </format>
    <format dxfId="247">
      <pivotArea outline="0" collapsedLevelsAreSubtotals="1" fieldPosition="0"/>
    </format>
    <format dxfId="246">
      <pivotArea dataOnly="0" labelOnly="1" outline="0" axis="axisValues" fieldPosition="0"/>
    </format>
  </formats>
  <pivotTableStyleInfo name="PivotStyleMedium1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FC220-230E-420A-8B0B-2301BBBAA75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O3:Q14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10">
        <item x="7"/>
        <item x="4"/>
        <item x="0"/>
        <item x="8"/>
        <item x="1"/>
        <item x="2"/>
        <item x="5"/>
        <item x="6"/>
        <item x="3"/>
        <item t="default"/>
      </items>
    </pivotField>
    <pivotField showAll="0"/>
    <pivotField axis="axisCol" showAll="0">
      <items count="6">
        <item h="1" x="3"/>
        <item x="0"/>
        <item h="1" x="4"/>
        <item h="1" x="2"/>
        <item h="1" x="1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>
      <items count="13">
        <item m="1" x="10"/>
        <item x="0"/>
        <item x="2"/>
        <item x="4"/>
        <item x="3"/>
        <item m="1" x="11"/>
        <item x="5"/>
        <item x="1"/>
        <item x="6"/>
        <item x="7"/>
        <item m="1" x="9"/>
        <item x="8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8"/>
    <field x="5"/>
  </rowFields>
  <rowItems count="10">
    <i>
      <x/>
    </i>
    <i r="1">
      <x v="1"/>
    </i>
    <i r="1">
      <x v="5"/>
    </i>
    <i r="1">
      <x v="6"/>
    </i>
    <i r="1">
      <x v="8"/>
    </i>
    <i>
      <x v="1"/>
    </i>
    <i r="1">
      <x v="2"/>
    </i>
    <i r="1">
      <x v="4"/>
    </i>
    <i r="1">
      <x v="7"/>
    </i>
    <i t="grand">
      <x/>
    </i>
  </rowItems>
  <colFields count="1">
    <field x="7"/>
  </colFields>
  <colItems count="2">
    <i>
      <x v="1"/>
    </i>
    <i t="grand">
      <x/>
    </i>
  </colItems>
  <dataFields count="1">
    <dataField name="Contagem de COORDENADOR" fld="8" subtotal="count" baseField="0" baseItem="0"/>
  </dataFields>
  <formats count="4">
    <format dxfId="253">
      <pivotArea outline="0" collapsedLevelsAreSubtotals="1" fieldPosition="0"/>
    </format>
    <format dxfId="252">
      <pivotArea dataOnly="0" labelOnly="1" outline="0" axis="axisValues" fieldPosition="0"/>
    </format>
    <format dxfId="251">
      <pivotArea outline="0" collapsedLevelsAreSubtotals="1" fieldPosition="0"/>
    </format>
    <format dxfId="250">
      <pivotArea dataOnly="0" labelOnly="1" outline="0" axis="axisValues" fieldPosition="0"/>
    </format>
  </formats>
  <pivotTableStyleInfo name="PivotStyleMedium1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" xr10:uid="{4F913A14-4A8A-47AA-9851-D172F6F4C625}" sourceName="Status">
  <pivotTables>
    <pivotTable tabId="9" name="Tabela dinâmica1"/>
  </pivotTables>
  <data>
    <tabular pivotCacheId="1292457392">
      <items count="10">
        <i x="4"/>
        <i x="5"/>
        <i x="1"/>
        <i x="6"/>
        <i x="0"/>
        <i x="3"/>
        <i x="2" s="1"/>
        <i x="9" nd="1"/>
        <i x="8" nd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OPERADORA" xr10:uid="{D1CC44DE-3CED-4EDF-8D3B-AC12973CBC4A}" sourceName="OPERADORA">
  <pivotTables>
    <pivotTable tabId="9" name="Tabela dinâmica1"/>
  </pivotTables>
  <data>
    <tabular pivotCacheId="1292457392">
      <items count="4">
        <i x="1" s="1"/>
        <i x="2" s="1"/>
        <i x="0" s="1"/>
        <i x="3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TOR_ORIGEM" xr10:uid="{D764928F-FDD2-4390-B3BA-5C3CEEF1C370}" sourceName="SETOR ORIGEM">
  <pivotTables>
    <pivotTable tabId="9" name="Tabela dinâmica1"/>
  </pivotTables>
  <data>
    <tabular pivotCacheId="1292457392">
      <items count="20">
        <i x="11" s="1"/>
        <i x="3" s="1"/>
        <i x="4" s="1"/>
        <i x="12" s="1"/>
        <i x="8" s="1"/>
        <i x="15" s="1"/>
        <i x="10" s="1"/>
        <i x="9" s="1"/>
        <i x="5" s="1"/>
        <i x="6" s="1"/>
        <i x="17" s="1"/>
        <i x="16" s="1"/>
        <i x="14" s="1"/>
        <i x="18" s="1"/>
        <i x="13" s="1"/>
        <i x="1" s="1"/>
        <i x="2" s="1"/>
        <i x="7" s="1" nd="1"/>
        <i x="0" s="1" nd="1"/>
        <i x="19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" xr10:uid="{36F70893-0595-4675-9D58-6D68D32BE397}" cache="SegmentaçãodeDados_Status" columnCount="3" rowHeight="252000"/>
  <slicer name="OPERADORA" xr10:uid="{6747E20D-1D18-406C-89BC-73813F902B75}" cache="SegmentaçãodeDados_OPERADORA" caption="OPERADORA" columnCount="2" rowHeight="252000"/>
  <slicer name="SETOR ORIGEM" xr10:uid="{02F8A2DC-A37F-458C-9076-FF639B797758}" cache="SegmentaçãodeDados_SETOR_ORIGEM" caption="SETOR ORIGEM" columnCount="7" rowHeight="144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F09CFF-606B-4DFA-8E96-95D70C274BA1}" name="Tabela1" displayName="Tabela1" ref="A1:T161" totalsRowShown="0" headerRowDxfId="287" dataDxfId="285" headerRowBorderDxfId="286" tableBorderDxfId="284">
  <autoFilter ref="A1:T161" xr:uid="{60F09CFF-606B-4DFA-8E96-95D70C274BA1}"/>
  <tableColumns count="20">
    <tableColumn id="1" xr3:uid="{2F18EB36-AD63-4D12-A9EE-DEEEC6C926F3}" name="UF" dataDxfId="283"/>
    <tableColumn id="2" xr3:uid="{AC900435-63DE-4C31-B294-6B0BBB010803}" name="TR" dataDxfId="282"/>
    <tableColumn id="3" xr3:uid="{4A1DD343-20B5-4CED-9647-D1CA88960BCE}" name="TT" dataDxfId="281"/>
    <tableColumn id="4" xr3:uid="{8D00EF73-5C73-4F3A-B764-E45DC226F577}" name="FUNCIONÁRIO" dataDxfId="280"/>
    <tableColumn id="5" xr3:uid="{AE25EB9D-60A3-42AD-9298-D9AE3C9951A8}" name="FUNÇÃO" dataDxfId="279"/>
    <tableColumn id="6" xr3:uid="{8899FBE5-C1FC-4413-95FD-16270046C21E}" name="OPERADORA" dataDxfId="278"/>
    <tableColumn id="10" xr3:uid="{4957D4DC-B90B-4B3B-B65E-5C7D79D7752B}" name="SUPERVISOR" dataDxfId="277"/>
    <tableColumn id="11" xr3:uid="{BE56A8D2-5BB8-4687-8F90-80A260C14DF2}" name="SETOR ORIGEM" dataDxfId="276"/>
    <tableColumn id="12" xr3:uid="{7F7D8EE9-771F-4E93-92DA-F27A02214357}" name="SETOR ATUAL" dataDxfId="275"/>
    <tableColumn id="7" xr3:uid="{6309C48D-8D92-4AE1-8F12-3A0BEF3D935D}" name="Status" dataDxfId="274"/>
    <tableColumn id="19" xr3:uid="{4678BB76-D714-49CB-B321-C578E355C30C}" name="Status_Check" dataDxfId="273"/>
    <tableColumn id="20" xr3:uid="{5035E84F-F1F6-4F93-90A0-2F07EA0DF100}" name="Eficiencia" dataDxfId="272"/>
    <tableColumn id="8" xr3:uid="{B7B4AD8E-3D78-42FF-917E-13F3F053E833}" name="OPERADORA ATUAÇÃO" dataDxfId="271"/>
    <tableColumn id="16" xr3:uid="{00C76F44-6FBE-459B-8598-706006B6EB94}" name="Inicio Ind" dataDxfId="270"/>
    <tableColumn id="9" xr3:uid="{9AAAC032-F655-4ABC-8551-4135F869093B}" name="Previsão Retorno" dataDxfId="269"/>
    <tableColumn id="13" xr3:uid="{008FA634-549E-4085-AF42-77AAB8774C6D}" name="Observação" dataDxfId="268"/>
    <tableColumn id="18" xr3:uid="{623B804B-670B-4DB5-B411-A08D761EC45E}" name="SEF" dataDxfId="267"/>
    <tableColumn id="17" xr3:uid="{F8F3405F-47AC-4134-ABDA-2C7188F81CB0}" name="Coluna1" dataDxfId="266"/>
    <tableColumn id="14" xr3:uid="{0A2CA2C0-1075-4F82-B768-29FB9EA5C411}" name="COORDENADOR" dataDxfId="265"/>
    <tableColumn id="15" xr3:uid="{A9A35E91-E36E-4A7E-9D97-2CB638999DB1}" name="MUNICIPIO" dataDxfId="264"/>
  </tableColumns>
  <tableStyleInfo name="TableStyleLight8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13AAD2-BE64-4F58-BEDA-49AD9B5D8067}" name="Tabela13" displayName="Tabela13" ref="A2:K145" totalsRowShown="0" headerRowDxfId="245" dataDxfId="243" headerRowBorderDxfId="244" tableBorderDxfId="242">
  <autoFilter ref="A2:K145" xr:uid="{7113AAD2-BE64-4F58-BEDA-49AD9B5D8067}">
    <filterColumn colId="7">
      <filters>
        <filter val="CO Digital com Falha"/>
      </filters>
    </filterColumn>
  </autoFilter>
  <sortState xmlns:xlrd2="http://schemas.microsoft.com/office/spreadsheetml/2017/richdata2" ref="A3:K28">
    <sortCondition ref="J2:J145"/>
  </sortState>
  <tableColumns count="11">
    <tableColumn id="1" xr3:uid="{AF19E8DD-904F-4452-9563-D6AB5C4481C6}" name="UF" dataDxfId="241"/>
    <tableColumn id="6" xr3:uid="{1D1CE2AA-4344-4E06-B1CA-524BA6A186E8}" name="RE" dataDxfId="240"/>
    <tableColumn id="2" xr3:uid="{0C7FECED-3B73-4336-86E6-FB1CB1E07453}" name="TR" dataDxfId="239"/>
    <tableColumn id="3" xr3:uid="{F76A425A-3431-4362-A80D-7B38A0F13C37}" name="TT" dataDxfId="238"/>
    <tableColumn id="4" xr3:uid="{237675CC-F8B8-4498-80BC-C28A81E4F755}" name="FUNCIONÁRIO" dataDxfId="237"/>
    <tableColumn id="10" xr3:uid="{2420FDEF-1A32-4144-BABB-824DA3250792}" name="SUPERVISOR" dataDxfId="236"/>
    <tableColumn id="11" xr3:uid="{A7ECB1E6-C679-4DB0-AD13-27DB13B1052D}" name="SETOR ORIGEM" dataDxfId="235"/>
    <tableColumn id="13" xr3:uid="{D4A91BC7-7A23-426E-B06C-1654B9AE2C31}" name="Observação" dataDxfId="234"/>
    <tableColumn id="14" xr3:uid="{FF6E4903-F654-4279-9750-D36302C5F0BF}" name="COORDENADOR" dataDxfId="233"/>
    <tableColumn id="7" xr3:uid="{59F17689-0434-4853-A9E5-CAAB7201FAD3}" name="DATA" dataDxfId="232"/>
    <tableColumn id="5" xr3:uid="{6CD2E3E1-2A6B-4CDA-A6FA-D6FE3EBE02D9}" name="HORA" dataDxfId="231"/>
  </tableColumns>
  <tableStyleInfo name="TableStyleLight8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0B0413-0286-4666-A8C4-37B01A0008FF}" name="Tabela4" displayName="Tabela4" ref="A1:R13" totalsRowShown="0">
  <autoFilter ref="A1:R13" xr:uid="{B00B0413-0286-4666-A8C4-37B01A0008FF}"/>
  <sortState xmlns:xlrd2="http://schemas.microsoft.com/office/spreadsheetml/2017/richdata2" ref="A2:R13">
    <sortCondition ref="R2:R13"/>
  </sortState>
  <tableColumns count="18">
    <tableColumn id="1" xr3:uid="{41B66AA2-26D8-45AA-B50F-B920012E483A}" name="UF" dataDxfId="230"/>
    <tableColumn id="2" xr3:uid="{0F9A54EB-A1AF-4E32-9655-54FF58C3AD0D}" name="TR" dataDxfId="229"/>
    <tableColumn id="3" xr3:uid="{034167E1-7772-44DB-B01D-17E8D434065A}" name="TT" dataDxfId="228"/>
    <tableColumn id="4" xr3:uid="{5EBA31DF-8213-41E9-98DE-7578330154D8}" name="FUNCIONÁRIO" dataDxfId="227"/>
    <tableColumn id="5" xr3:uid="{F6D790B8-690A-472C-AE41-6D0CCD4243AE}" name="FUNÇÃO" dataDxfId="226"/>
    <tableColumn id="6" xr3:uid="{F71629B3-9EBC-488A-B51D-E2A508CF5DE7}" name="OPERADORA" dataDxfId="225"/>
    <tableColumn id="7" xr3:uid="{6EED2AC6-7128-4AF6-877A-516A28C242D3}" name="SUPERVISOR" dataDxfId="224"/>
    <tableColumn id="8" xr3:uid="{703B58CB-981C-4025-A13E-5DC7591E3D02}" name="SETOR ORIGEM" dataDxfId="223"/>
    <tableColumn id="9" xr3:uid="{791AA173-BC68-4F3E-9E4E-2EF3CACECDA1}" name="SETOR ATUAL" dataDxfId="222"/>
    <tableColumn id="10" xr3:uid="{E1F04A96-FFEA-4EED-A159-D4533A16F822}" name="Status" dataDxfId="221"/>
    <tableColumn id="11" xr3:uid="{9148B789-9A30-4BB5-9C66-2831B9793034}" name="Status_Check" dataDxfId="220"/>
    <tableColumn id="12" xr3:uid="{0F1041E4-33DE-483F-A6C3-7928C1A0D463}" name="Eficiencia" dataDxfId="219"/>
    <tableColumn id="13" xr3:uid="{0008BF12-EF32-4396-8E64-45DD2C644BB8}" name="OPERADORA ATUAÇÃO" dataDxfId="218"/>
    <tableColumn id="14" xr3:uid="{8C623D44-08BC-41DC-9548-232A491D2AE6}" name="Inicio Ind" dataDxfId="217"/>
    <tableColumn id="15" xr3:uid="{520E6B2A-9E91-418B-9FF8-95263F2A307D}" name="Previsão Retorno" dataDxfId="216"/>
    <tableColumn id="16" xr3:uid="{3C8E225F-D53C-47AF-95B8-A5BEC97E774F}" name="Observação" dataDxfId="215"/>
    <tableColumn id="17" xr3:uid="{DC248718-765C-4B1D-BAC8-6559E975A990}" name="COORDENADOR" dataDxfId="214"/>
    <tableColumn id="18" xr3:uid="{F188D1B3-D593-48E2-A642-96FC0FE2BF0B}" name="MUNICIPIO" dataDxfId="213"/>
  </tableColumns>
  <tableStyleInfo name="TableStyleLight8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71E0E1-5B59-4083-A52F-660CBD9AB299}" name="Tabela14" displayName="Tabela14" ref="A1:W158" totalsRowShown="0" headerRowDxfId="212" dataDxfId="210" headerRowBorderDxfId="211" tableBorderDxfId="209">
  <autoFilter ref="A1:W158" xr:uid="{3071E0E1-5B59-4083-A52F-660CBD9AB299}">
    <filterColumn colId="21">
      <filters>
        <filter val="JUNIOMAR MOCHNACZ"/>
      </filters>
    </filterColumn>
  </autoFilter>
  <sortState xmlns:xlrd2="http://schemas.microsoft.com/office/spreadsheetml/2017/richdata2" ref="A14:W158">
    <sortCondition ref="G1:G158"/>
  </sortState>
  <tableColumns count="23">
    <tableColumn id="1" xr3:uid="{DB658CD1-436D-4D3F-8644-E0D9A7A72264}" name="UF" dataDxfId="208"/>
    <tableColumn id="2" xr3:uid="{655F10C5-069E-414C-A1E1-6A86157E9433}" name="TR" dataDxfId="207"/>
    <tableColumn id="3" xr3:uid="{23F7D2C1-05B8-4BE6-88F7-FD4AC9AA0B37}" name="TT" dataDxfId="206"/>
    <tableColumn id="4" xr3:uid="{1709AC01-38DB-4C6B-8279-FD53C00364F6}" name="FUNCIONÁRIO" dataDxfId="205"/>
    <tableColumn id="5" xr3:uid="{39D80017-11BD-47F3-9DE3-D48204DDA475}" name="FUNÇÃO" dataDxfId="204"/>
    <tableColumn id="6" xr3:uid="{DB9B6253-5A06-4D18-A8D4-D80F6163BCC0}" name="OPERADORA" dataDxfId="203"/>
    <tableColumn id="10" xr3:uid="{E18BEA4C-CBB9-4D0D-9C3A-ADAC0C708067}" name="SUPERVISOR" dataDxfId="202"/>
    <tableColumn id="11" xr3:uid="{AFC8D2CB-0328-4446-8ADF-A78684DE4295}" name="SETOR ORIGEM" dataDxfId="201"/>
    <tableColumn id="12" xr3:uid="{3C2B95BA-ED9D-422E-AEA2-C5000051AEEC}" name="SETOR ATUAL" dataDxfId="200"/>
    <tableColumn id="7" xr3:uid="{73217AAD-0607-43A7-97F5-2757BA7A3C88}" name="Status" dataDxfId="199"/>
    <tableColumn id="19" xr3:uid="{BF8A9340-07A1-4C55-B28E-F12FB8D6A00F}" name="Status_Check" dataDxfId="198"/>
    <tableColumn id="20" xr3:uid="{D2A3C77F-210D-4421-9F2B-9F2144AC6778}" name="Eficiencia" dataDxfId="197"/>
    <tableColumn id="22" xr3:uid="{E435BF4D-45BC-466D-A32C-80950AFF2361}" name="Eficiencia Atual" dataDxfId="196"/>
    <tableColumn id="21" xr3:uid="{40D9C782-770D-4206-BD29-BE37C1DB4A4D}" name="Eficiencia_Ajuste" dataDxfId="195"/>
    <tableColumn id="23" xr3:uid="{8BBBA3D5-9840-4E76-8ACB-0E30539F8F98}" name="Obs" dataDxfId="194"/>
    <tableColumn id="8" xr3:uid="{71B8F4D9-BA24-4B35-AF97-0787F68B9359}" name="OPERADORA ATUAÇÃO" dataDxfId="193"/>
    <tableColumn id="16" xr3:uid="{9803F2A3-3DD0-442A-B838-21C89E1BCE0D}" name="Inicio Ind" dataDxfId="192"/>
    <tableColumn id="9" xr3:uid="{F460D5B2-7D61-4810-96C4-41091A7B73D4}" name="Previsão Retorno" dataDxfId="191"/>
    <tableColumn id="13" xr3:uid="{3642FAF2-3826-4672-862F-3978F9AFDB94}" name="Observação" dataDxfId="190"/>
    <tableColumn id="18" xr3:uid="{48CCC1B0-BA5F-448F-9872-91FEF09A6947}" name="Coluna2" dataDxfId="189"/>
    <tableColumn id="17" xr3:uid="{0D30E08A-6305-47FE-8F13-A9CFDFE23A26}" name="Coluna1" dataDxfId="188"/>
    <tableColumn id="14" xr3:uid="{72D1C6A1-8DB8-4B4D-9448-1A61EBF05DFE}" name="COORDENADOR" dataDxfId="187"/>
    <tableColumn id="15" xr3:uid="{9C91BE25-5D2D-4936-A7D4-FCFCA7E33FF5}" name="MUNICIPIO" dataDxfId="186"/>
  </tableColumns>
  <tableStyleInfo name="TableStyleLight8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F029F4-EB96-4D37-944A-72C2BBB11F20}" name="Tabela16" displayName="Tabela16" ref="A1:I166" totalsRowShown="0" headerRowDxfId="185" dataDxfId="183" headerRowBorderDxfId="184" tableBorderDxfId="182">
  <autoFilter ref="A1:I166" xr:uid="{60F09CFF-606B-4DFA-8E96-95D70C274BA1}"/>
  <sortState xmlns:xlrd2="http://schemas.microsoft.com/office/spreadsheetml/2017/richdata2" ref="A2:I165">
    <sortCondition ref="D1:D165"/>
  </sortState>
  <tableColumns count="9">
    <tableColumn id="1" xr3:uid="{ECD1752D-1AD9-4B7F-91A6-BC9041649AD2}" name="UF" dataDxfId="181"/>
    <tableColumn id="2" xr3:uid="{9DAD99AC-2D56-452F-BC79-489977BD1458}" name="TR" dataDxfId="180"/>
    <tableColumn id="3" xr3:uid="{B68CE728-E14F-4E9A-8257-A76B28882975}" name="TT" dataDxfId="179"/>
    <tableColumn id="4" xr3:uid="{0872E3C1-3906-46F5-A13B-D584BCA3740E}" name="FUNCIONÁRIO" dataDxfId="178"/>
    <tableColumn id="10" xr3:uid="{3688FA0E-CC29-45C4-894C-8F8AED9C8DB7}" name="SUPERVISOR" dataDxfId="177"/>
    <tableColumn id="11" xr3:uid="{AAAA76DA-9687-467C-8053-097AFC877551}" name="SETOR ORIGEM" dataDxfId="176"/>
    <tableColumn id="6" xr3:uid="{E9B6C1D4-1BF5-4178-8780-64EA9B509913}" name="DATA INVENTARIO" dataDxfId="175"/>
    <tableColumn id="14" xr3:uid="{04BA0EE3-7723-4755-800C-2E5395E3E7BC}" name="COORDENADOR" dataDxfId="174"/>
    <tableColumn id="15" xr3:uid="{EA76A0A2-DC83-45A4-B269-3E56DE675FB8}" name="MUNICIPIO" dataDxfId="173"/>
  </tableColumns>
  <tableStyleInfo name="TableStyleLight8" showFirstColumn="0" showLastColumn="0" showRowStripes="1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BD5661-2241-4720-96FA-71B1FB7B10FD}" name="Tabela17" displayName="Tabela17" ref="A1:J160" totalsRowShown="0" headerRowDxfId="172" dataDxfId="170" headerRowBorderDxfId="171" tableBorderDxfId="169">
  <autoFilter ref="A1:J160" xr:uid="{60F09CFF-606B-4DFA-8E96-95D70C274BA1}"/>
  <sortState xmlns:xlrd2="http://schemas.microsoft.com/office/spreadsheetml/2017/richdata2" ref="A2:J160">
    <sortCondition ref="E1:E160"/>
  </sortState>
  <tableColumns count="10">
    <tableColumn id="1" xr3:uid="{36BAFB91-D321-44F5-98FB-018942619DB3}" name="UF" dataDxfId="168"/>
    <tableColumn id="2" xr3:uid="{BFCB7DB5-4BE0-4374-83CF-3515633071A5}" name="TR" dataDxfId="167"/>
    <tableColumn id="3" xr3:uid="{9A987521-F95C-4920-90D5-1D94FD082FFB}" name="TT" dataDxfId="166"/>
    <tableColumn id="4" xr3:uid="{185B8E88-B8AF-49D6-A648-03E106805088}" name="FUNCIONÁRIO" dataDxfId="165"/>
    <tableColumn id="10" xr3:uid="{A422A7B2-A4F4-421D-93C8-A3B89B469479}" name="SUPERVISOR" dataDxfId="164"/>
    <tableColumn id="11" xr3:uid="{2423DCA6-8DD8-4159-AFA0-7ACFECF6ACF1}" name="SETOR ORIGEM" dataDxfId="163"/>
    <tableColumn id="8" xr3:uid="{2E1E2721-3CF7-4FA3-A481-1E259AA87BB9}" name="INVENTARIO" dataDxfId="162"/>
    <tableColumn id="7" xr3:uid="{62654C0D-50B1-4062-86B4-478B8C078716}" name="STATUS" dataDxfId="161"/>
    <tableColumn id="14" xr3:uid="{B766AE72-BFAC-45AA-9CF9-8CD8927CA2C4}" name="COORDENADOR" dataDxfId="160"/>
    <tableColumn id="15" xr3:uid="{AA3876C9-FAC3-4C52-BAE2-E077098F0E51}" name="MUNICIPIO" dataDxfId="159"/>
  </tableColumns>
  <tableStyleInfo name="TableStyleLight8" showFirstColumn="0" showLastColumn="0" showRowStripes="1" showColumn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0B5DB-F24E-452A-9DE6-31C2422700DE}">
  <dimension ref="A1:U18"/>
  <sheetViews>
    <sheetView workbookViewId="0">
      <selection activeCell="I14" sqref="I14"/>
    </sheetView>
  </sheetViews>
  <sheetFormatPr defaultRowHeight="15"/>
  <cols>
    <col min="1" max="1" width="19.28515625" bestFit="1" customWidth="1"/>
  </cols>
  <sheetData>
    <row r="1" spans="1:21">
      <c r="A1" t="s">
        <v>0</v>
      </c>
    </row>
    <row r="2" spans="1:21">
      <c r="A2" t="s">
        <v>1</v>
      </c>
    </row>
    <row r="3" spans="1:21">
      <c r="A3" t="s">
        <v>2</v>
      </c>
    </row>
    <row r="4" spans="1:21">
      <c r="A4" t="s">
        <v>3</v>
      </c>
    </row>
    <row r="5" spans="1:21">
      <c r="A5" t="s">
        <v>4</v>
      </c>
      <c r="D5" t="s">
        <v>0</v>
      </c>
      <c r="E5" t="s">
        <v>1</v>
      </c>
      <c r="F5" t="s">
        <v>2</v>
      </c>
      <c r="G5" t="s">
        <v>3</v>
      </c>
      <c r="H5" t="s">
        <v>4</v>
      </c>
      <c r="I5" t="s">
        <v>5</v>
      </c>
      <c r="J5" t="s">
        <v>6</v>
      </c>
      <c r="K5" t="s">
        <v>7</v>
      </c>
      <c r="L5" t="s">
        <v>8</v>
      </c>
      <c r="M5" t="s">
        <v>9</v>
      </c>
      <c r="N5" t="s">
        <v>10</v>
      </c>
      <c r="O5" t="s">
        <v>11</v>
      </c>
      <c r="P5" t="s">
        <v>12</v>
      </c>
      <c r="Q5" t="s">
        <v>13</v>
      </c>
      <c r="R5" t="s">
        <v>14</v>
      </c>
      <c r="S5" t="s">
        <v>15</v>
      </c>
      <c r="T5" t="s">
        <v>16</v>
      </c>
      <c r="U5" t="s">
        <v>17</v>
      </c>
    </row>
    <row r="6" spans="1:21">
      <c r="A6" t="s">
        <v>5</v>
      </c>
    </row>
    <row r="7" spans="1:21">
      <c r="A7" t="s">
        <v>6</v>
      </c>
      <c r="D7" t="str">
        <f>CONCATENATE(D5,"; ",E5,"; ",F5,"; ",G5,"; ",H5,"; ",I5,"; ",J5,"; ",K5,"; ",L5,"; ",M5,"; ",N5,"; ",O5,"; ",P5,"; ",Q5,"; ",R5,"; ",S5,"; ",T5,"; ",U5)</f>
        <v>Afastado; Atestado; Consulta Medica; Desligado; Duplado; Em Contratação; Falta; Folga; Luto Familiar; Outros; RH; Saude; Treinamento; Veiculo Avaria; Veiculo Manutenção; Renovação de CNH; Sistemico; Técnico de Dados</v>
      </c>
    </row>
    <row r="8" spans="1:21">
      <c r="A8" t="s">
        <v>7</v>
      </c>
      <c r="D8" t="s">
        <v>18</v>
      </c>
    </row>
    <row r="9" spans="1:21">
      <c r="A9" t="s">
        <v>8</v>
      </c>
    </row>
    <row r="10" spans="1:21">
      <c r="A10" t="s">
        <v>9</v>
      </c>
    </row>
    <row r="11" spans="1:21">
      <c r="A11" t="s">
        <v>10</v>
      </c>
    </row>
    <row r="12" spans="1:21">
      <c r="A12" t="s">
        <v>11</v>
      </c>
    </row>
    <row r="13" spans="1:21">
      <c r="A13" t="s">
        <v>12</v>
      </c>
    </row>
    <row r="14" spans="1:21">
      <c r="A14" t="s">
        <v>13</v>
      </c>
    </row>
    <row r="15" spans="1:21">
      <c r="A15" t="s">
        <v>14</v>
      </c>
    </row>
    <row r="16" spans="1:21">
      <c r="A16" t="s">
        <v>15</v>
      </c>
    </row>
    <row r="17" spans="1:1">
      <c r="A17" t="s">
        <v>16</v>
      </c>
    </row>
    <row r="18" spans="1:1">
      <c r="A18" t="s">
        <v>17</v>
      </c>
    </row>
  </sheetData>
  <sortState xmlns:xlrd2="http://schemas.microsoft.com/office/spreadsheetml/2017/richdata2" ref="A1:A15">
    <sortCondition ref="A1:A15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A5005-E748-4D6E-B9EE-CE1F04A715A3}">
  <dimension ref="A1:FZ15"/>
  <sheetViews>
    <sheetView showGridLines="0" workbookViewId="0">
      <selection activeCell="FQ11" sqref="FQ11"/>
    </sheetView>
  </sheetViews>
  <sheetFormatPr defaultColWidth="9.140625" defaultRowHeight="15"/>
  <cols>
    <col min="1" max="1" width="18.5703125" bestFit="1" customWidth="1"/>
    <col min="2" max="3" width="6.42578125" hidden="1" customWidth="1"/>
    <col min="4" max="8" width="6.28515625" hidden="1" customWidth="1"/>
    <col min="9" max="10" width="6.42578125" hidden="1" customWidth="1"/>
    <col min="11" max="15" width="6.28515625" hidden="1" customWidth="1"/>
    <col min="16" max="17" width="6.42578125" hidden="1" customWidth="1"/>
    <col min="18" max="22" width="6.28515625" hidden="1" customWidth="1"/>
    <col min="23" max="24" width="6.42578125" hidden="1" customWidth="1"/>
    <col min="25" max="29" width="6.28515625" hidden="1" customWidth="1"/>
    <col min="30" max="31" width="6.42578125" hidden="1" customWidth="1"/>
    <col min="32" max="36" width="6.140625" style="1" hidden="1" customWidth="1"/>
    <col min="37" max="37" width="6.42578125" style="1" hidden="1" customWidth="1"/>
    <col min="38" max="38" width="6.42578125" hidden="1" customWidth="1"/>
    <col min="39" max="43" width="6.140625" hidden="1" customWidth="1"/>
    <col min="44" max="45" width="6.42578125" hidden="1" customWidth="1"/>
    <col min="46" max="50" width="6.140625" hidden="1" customWidth="1"/>
    <col min="51" max="51" width="6.140625" style="57" hidden="1" customWidth="1"/>
    <col min="52" max="52" width="6.140625" hidden="1" customWidth="1"/>
    <col min="53" max="54" width="6.140625" style="57" hidden="1" customWidth="1"/>
    <col min="55" max="56" width="6.140625" hidden="1" customWidth="1"/>
    <col min="57" max="58" width="6.140625" style="57" hidden="1" customWidth="1"/>
    <col min="59" max="61" width="6.140625" hidden="1" customWidth="1"/>
    <col min="62" max="62" width="6.140625" style="57" hidden="1" customWidth="1"/>
    <col min="63" max="85" width="6.5703125" hidden="1" customWidth="1"/>
    <col min="86" max="87" width="7" hidden="1" customWidth="1"/>
    <col min="88" max="120" width="6.5703125" hidden="1" customWidth="1"/>
    <col min="121" max="146" width="9.140625" hidden="1" customWidth="1"/>
    <col min="147" max="147" width="0.140625" hidden="1" customWidth="1"/>
    <col min="148" max="152" width="9.140625" hidden="1" customWidth="1"/>
    <col min="153" max="161" width="0" hidden="1" customWidth="1"/>
    <col min="16384" max="16384" width="9.140625" bestFit="1" customWidth="1"/>
  </cols>
  <sheetData>
    <row r="1" spans="1:182">
      <c r="A1" s="2"/>
      <c r="B1" s="3" t="s">
        <v>19</v>
      </c>
      <c r="C1" s="4" t="s">
        <v>20</v>
      </c>
      <c r="D1" s="5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3" t="s">
        <v>19</v>
      </c>
      <c r="J1" s="4" t="s">
        <v>20</v>
      </c>
      <c r="K1" s="5" t="s">
        <v>21</v>
      </c>
      <c r="L1" s="6" t="s">
        <v>22</v>
      </c>
      <c r="M1" s="6" t="s">
        <v>23</v>
      </c>
      <c r="N1" s="6" t="s">
        <v>24</v>
      </c>
      <c r="O1" s="6" t="s">
        <v>25</v>
      </c>
      <c r="P1" s="3" t="s">
        <v>19</v>
      </c>
      <c r="Q1" s="4" t="s">
        <v>20</v>
      </c>
      <c r="R1" s="5" t="s">
        <v>21</v>
      </c>
      <c r="S1" s="6" t="s">
        <v>22</v>
      </c>
      <c r="T1" s="6" t="s">
        <v>23</v>
      </c>
      <c r="U1" s="6" t="s">
        <v>24</v>
      </c>
      <c r="V1" s="6" t="s">
        <v>25</v>
      </c>
      <c r="W1" s="3" t="s">
        <v>19</v>
      </c>
      <c r="X1" s="4" t="s">
        <v>20</v>
      </c>
      <c r="Y1" s="5" t="s">
        <v>21</v>
      </c>
      <c r="Z1" s="6" t="s">
        <v>22</v>
      </c>
      <c r="AA1" s="6" t="s">
        <v>23</v>
      </c>
      <c r="AB1" s="6" t="s">
        <v>24</v>
      </c>
      <c r="AC1" s="7" t="s">
        <v>25</v>
      </c>
      <c r="AD1" s="8" t="s">
        <v>19</v>
      </c>
      <c r="AE1" s="8" t="s">
        <v>20</v>
      </c>
      <c r="AF1" s="9" t="s">
        <v>21</v>
      </c>
      <c r="AG1" s="9" t="s">
        <v>22</v>
      </c>
      <c r="AH1" s="9" t="s">
        <v>26</v>
      </c>
      <c r="AI1" s="9" t="s">
        <v>24</v>
      </c>
      <c r="AJ1" s="9" t="s">
        <v>25</v>
      </c>
      <c r="AK1" s="48" t="s">
        <v>27</v>
      </c>
      <c r="AL1" s="50" t="s">
        <v>20</v>
      </c>
      <c r="AM1" s="10" t="s">
        <v>21</v>
      </c>
      <c r="AN1" s="10" t="s">
        <v>22</v>
      </c>
      <c r="AO1" s="10" t="s">
        <v>26</v>
      </c>
      <c r="AP1" s="10" t="s">
        <v>24</v>
      </c>
      <c r="AQ1" s="10" t="s">
        <v>25</v>
      </c>
      <c r="AR1" s="48" t="s">
        <v>27</v>
      </c>
      <c r="AS1" s="48" t="s">
        <v>20</v>
      </c>
      <c r="AT1" s="10" t="s">
        <v>21</v>
      </c>
      <c r="AU1" s="10" t="s">
        <v>22</v>
      </c>
      <c r="AV1" s="10" t="s">
        <v>26</v>
      </c>
      <c r="AW1" s="10" t="s">
        <v>24</v>
      </c>
      <c r="AX1" s="10" t="s">
        <v>25</v>
      </c>
      <c r="AY1" s="54" t="s">
        <v>27</v>
      </c>
      <c r="AZ1" s="54" t="s">
        <v>20</v>
      </c>
      <c r="BA1" s="10" t="s">
        <v>21</v>
      </c>
      <c r="BB1" s="10" t="s">
        <v>22</v>
      </c>
      <c r="BC1" s="10" t="s">
        <v>26</v>
      </c>
      <c r="BD1" s="61" t="s">
        <v>24</v>
      </c>
      <c r="BE1" s="61" t="s">
        <v>25</v>
      </c>
      <c r="BF1" s="66" t="s">
        <v>27</v>
      </c>
      <c r="BG1" s="66" t="s">
        <v>20</v>
      </c>
      <c r="BH1" s="69" t="s">
        <v>21</v>
      </c>
      <c r="BI1" s="68" t="s">
        <v>22</v>
      </c>
      <c r="BJ1" s="69" t="s">
        <v>26</v>
      </c>
      <c r="BK1" s="56" t="s">
        <v>24</v>
      </c>
      <c r="BL1" s="56" t="s">
        <v>25</v>
      </c>
      <c r="BM1" s="73" t="s">
        <v>27</v>
      </c>
      <c r="BN1" s="73" t="s">
        <v>20</v>
      </c>
      <c r="BO1" s="56" t="s">
        <v>21</v>
      </c>
      <c r="BP1" s="56" t="s">
        <v>22</v>
      </c>
      <c r="BQ1" s="56" t="s">
        <v>26</v>
      </c>
      <c r="BR1" s="56" t="s">
        <v>24</v>
      </c>
      <c r="BS1" s="56" t="s">
        <v>25</v>
      </c>
      <c r="BT1" s="73" t="s">
        <v>27</v>
      </c>
      <c r="BU1" s="73" t="s">
        <v>20</v>
      </c>
      <c r="BV1" s="56" t="s">
        <v>21</v>
      </c>
      <c r="BW1" s="56" t="s">
        <v>22</v>
      </c>
      <c r="BX1" s="56" t="s">
        <v>26</v>
      </c>
      <c r="BY1" s="56" t="s">
        <v>24</v>
      </c>
      <c r="BZ1" s="56" t="s">
        <v>25</v>
      </c>
      <c r="CA1" s="73" t="s">
        <v>27</v>
      </c>
      <c r="CB1" s="73" t="s">
        <v>20</v>
      </c>
      <c r="CC1" s="56" t="s">
        <v>21</v>
      </c>
      <c r="CD1" s="56" t="s">
        <v>22</v>
      </c>
      <c r="CE1" s="56" t="s">
        <v>26</v>
      </c>
      <c r="CF1" s="56" t="s">
        <v>24</v>
      </c>
      <c r="CG1" s="56" t="s">
        <v>25</v>
      </c>
      <c r="CH1" s="73" t="s">
        <v>27</v>
      </c>
      <c r="CI1" s="73" t="s">
        <v>20</v>
      </c>
      <c r="CJ1" s="56" t="s">
        <v>21</v>
      </c>
      <c r="CK1" s="56" t="s">
        <v>22</v>
      </c>
      <c r="CL1" s="56" t="s">
        <v>26</v>
      </c>
      <c r="CM1" s="56" t="s">
        <v>24</v>
      </c>
      <c r="CN1" s="56" t="s">
        <v>25</v>
      </c>
      <c r="CO1" s="73" t="s">
        <v>27</v>
      </c>
      <c r="CP1" s="73" t="s">
        <v>20</v>
      </c>
      <c r="CQ1" s="100" t="s">
        <v>21</v>
      </c>
      <c r="CR1" s="100" t="s">
        <v>22</v>
      </c>
      <c r="CS1" s="100" t="s">
        <v>26</v>
      </c>
      <c r="CT1" s="100" t="s">
        <v>24</v>
      </c>
      <c r="CU1" s="100" t="s">
        <v>25</v>
      </c>
      <c r="CV1" s="73" t="s">
        <v>27</v>
      </c>
      <c r="CW1" s="73" t="s">
        <v>20</v>
      </c>
      <c r="CX1" s="100" t="s">
        <v>21</v>
      </c>
      <c r="CY1" s="100" t="s">
        <v>22</v>
      </c>
      <c r="CZ1" s="100" t="s">
        <v>26</v>
      </c>
      <c r="DA1" s="100" t="s">
        <v>24</v>
      </c>
      <c r="DB1" s="100" t="s">
        <v>25</v>
      </c>
      <c r="DC1" s="73" t="s">
        <v>27</v>
      </c>
      <c r="DD1" s="73" t="s">
        <v>20</v>
      </c>
      <c r="DE1" s="100" t="s">
        <v>21</v>
      </c>
      <c r="DF1" s="100" t="s">
        <v>22</v>
      </c>
      <c r="DG1" s="100" t="s">
        <v>26</v>
      </c>
      <c r="DH1" s="100" t="s">
        <v>24</v>
      </c>
      <c r="DI1" s="100" t="s">
        <v>25</v>
      </c>
      <c r="DJ1" s="73" t="s">
        <v>27</v>
      </c>
      <c r="DK1" s="73" t="s">
        <v>20</v>
      </c>
      <c r="DL1" s="100" t="s">
        <v>21</v>
      </c>
      <c r="DM1" s="100" t="s">
        <v>22</v>
      </c>
      <c r="DN1" s="100" t="s">
        <v>26</v>
      </c>
      <c r="DO1" s="100" t="s">
        <v>24</v>
      </c>
      <c r="DP1" s="100" t="s">
        <v>25</v>
      </c>
      <c r="DQ1" s="100" t="s">
        <v>27</v>
      </c>
      <c r="DR1" s="144" t="s">
        <v>20</v>
      </c>
      <c r="DS1" s="100" t="s">
        <v>21</v>
      </c>
      <c r="DT1" s="100" t="s">
        <v>22</v>
      </c>
      <c r="DU1" s="100" t="s">
        <v>26</v>
      </c>
      <c r="DV1" s="100" t="s">
        <v>24</v>
      </c>
      <c r="DW1" s="100" t="s">
        <v>25</v>
      </c>
      <c r="DX1" s="73" t="s">
        <v>27</v>
      </c>
      <c r="DY1" s="73" t="s">
        <v>20</v>
      </c>
      <c r="DZ1" s="100" t="s">
        <v>21</v>
      </c>
      <c r="EA1" s="100" t="s">
        <v>22</v>
      </c>
      <c r="EB1" s="100" t="s">
        <v>26</v>
      </c>
      <c r="EC1" s="100" t="s">
        <v>24</v>
      </c>
      <c r="ED1" s="100" t="s">
        <v>25</v>
      </c>
      <c r="EE1" s="73" t="s">
        <v>27</v>
      </c>
      <c r="EF1" s="73" t="s">
        <v>20</v>
      </c>
      <c r="EG1" s="100" t="s">
        <v>21</v>
      </c>
      <c r="EH1" s="100" t="s">
        <v>22</v>
      </c>
      <c r="EI1" s="100" t="s">
        <v>26</v>
      </c>
      <c r="EJ1" s="100" t="s">
        <v>24</v>
      </c>
      <c r="EK1" s="100" t="s">
        <v>25</v>
      </c>
      <c r="EL1" s="73" t="s">
        <v>27</v>
      </c>
      <c r="EM1" s="73" t="s">
        <v>20</v>
      </c>
      <c r="EN1" s="100" t="s">
        <v>21</v>
      </c>
      <c r="EO1" s="100" t="s">
        <v>22</v>
      </c>
      <c r="EP1" s="100" t="s">
        <v>26</v>
      </c>
      <c r="EQ1" s="100" t="s">
        <v>24</v>
      </c>
      <c r="ER1" s="100" t="s">
        <v>25</v>
      </c>
      <c r="ES1" s="73" t="s">
        <v>27</v>
      </c>
      <c r="ET1" s="73" t="s">
        <v>20</v>
      </c>
      <c r="EU1" s="100" t="s">
        <v>21</v>
      </c>
      <c r="EV1" s="279" t="s">
        <v>22</v>
      </c>
      <c r="EW1" s="72" t="s">
        <v>26</v>
      </c>
      <c r="EX1" s="72" t="s">
        <v>24</v>
      </c>
      <c r="EY1" s="74" t="s">
        <v>25</v>
      </c>
      <c r="EZ1" s="74" t="s">
        <v>27</v>
      </c>
      <c r="FA1" s="74" t="s">
        <v>20</v>
      </c>
      <c r="FB1" s="72" t="s">
        <v>21</v>
      </c>
      <c r="FC1" s="72" t="s">
        <v>22</v>
      </c>
      <c r="FD1" s="72" t="s">
        <v>26</v>
      </c>
      <c r="FE1" s="72" t="s">
        <v>24</v>
      </c>
      <c r="FF1" s="72" t="s">
        <v>25</v>
      </c>
      <c r="FG1" s="74" t="s">
        <v>27</v>
      </c>
      <c r="FH1" s="74" t="s">
        <v>20</v>
      </c>
      <c r="FI1" s="72" t="s">
        <v>21</v>
      </c>
      <c r="FJ1" s="72" t="s">
        <v>22</v>
      </c>
      <c r="FK1" s="72" t="s">
        <v>26</v>
      </c>
      <c r="FL1" s="72" t="s">
        <v>24</v>
      </c>
      <c r="FM1" s="72" t="s">
        <v>25</v>
      </c>
      <c r="FN1" s="74" t="s">
        <v>27</v>
      </c>
      <c r="FO1" s="74" t="s">
        <v>20</v>
      </c>
      <c r="FP1" s="72" t="s">
        <v>21</v>
      </c>
      <c r="FQ1" s="74" t="s">
        <v>22</v>
      </c>
      <c r="FR1" s="72" t="s">
        <v>26</v>
      </c>
      <c r="FS1" s="72" t="s">
        <v>24</v>
      </c>
      <c r="FT1" s="72" t="s">
        <v>25</v>
      </c>
      <c r="FU1" s="74" t="s">
        <v>27</v>
      </c>
      <c r="FV1" s="74" t="s">
        <v>20</v>
      </c>
      <c r="FW1" s="72" t="s">
        <v>21</v>
      </c>
      <c r="FX1" s="72" t="s">
        <v>22</v>
      </c>
      <c r="FY1" s="72" t="s">
        <v>26</v>
      </c>
      <c r="FZ1" s="72" t="s">
        <v>24</v>
      </c>
    </row>
    <row r="2" spans="1:182">
      <c r="A2" s="11" t="s">
        <v>28</v>
      </c>
      <c r="B2" s="12">
        <v>45962</v>
      </c>
      <c r="C2" s="12">
        <v>45963</v>
      </c>
      <c r="D2" s="13">
        <v>45964</v>
      </c>
      <c r="E2" s="13">
        <v>45965</v>
      </c>
      <c r="F2" s="13">
        <v>45966</v>
      </c>
      <c r="G2" s="13">
        <v>45967</v>
      </c>
      <c r="H2" s="13">
        <v>45968</v>
      </c>
      <c r="I2" s="14">
        <v>45969</v>
      </c>
      <c r="J2" s="14">
        <v>45970</v>
      </c>
      <c r="K2" s="13">
        <v>45971</v>
      </c>
      <c r="L2" s="13">
        <v>45972</v>
      </c>
      <c r="M2" s="13">
        <v>45973</v>
      </c>
      <c r="N2" s="13">
        <v>45974</v>
      </c>
      <c r="O2" s="13">
        <v>45975</v>
      </c>
      <c r="P2" s="14">
        <v>45976</v>
      </c>
      <c r="Q2" s="14">
        <v>45977</v>
      </c>
      <c r="R2" s="13">
        <v>45978</v>
      </c>
      <c r="S2" s="13">
        <v>45979</v>
      </c>
      <c r="T2" s="13">
        <v>45980</v>
      </c>
      <c r="U2" s="13">
        <v>45981</v>
      </c>
      <c r="V2" s="13">
        <v>45982</v>
      </c>
      <c r="W2" s="14">
        <v>45983</v>
      </c>
      <c r="X2" s="14">
        <v>45984</v>
      </c>
      <c r="Y2" s="13">
        <v>45985</v>
      </c>
      <c r="Z2" s="13">
        <v>45986</v>
      </c>
      <c r="AA2" s="13">
        <v>45987</v>
      </c>
      <c r="AB2" s="13">
        <v>45988</v>
      </c>
      <c r="AC2" s="13">
        <v>45989</v>
      </c>
      <c r="AD2" s="12">
        <v>45990</v>
      </c>
      <c r="AE2" s="12">
        <v>45991</v>
      </c>
      <c r="AF2" s="15">
        <v>45992</v>
      </c>
      <c r="AG2" s="15">
        <v>45993</v>
      </c>
      <c r="AH2" s="15">
        <v>45994</v>
      </c>
      <c r="AI2" s="15">
        <v>45995</v>
      </c>
      <c r="AJ2" s="15">
        <v>45996</v>
      </c>
      <c r="AK2" s="51">
        <v>45997</v>
      </c>
      <c r="AL2" s="52">
        <v>45998</v>
      </c>
      <c r="AM2" s="16">
        <v>45999</v>
      </c>
      <c r="AN2" s="16">
        <v>46000</v>
      </c>
      <c r="AO2" s="16">
        <v>46001</v>
      </c>
      <c r="AP2" s="16">
        <v>46002</v>
      </c>
      <c r="AQ2" s="16">
        <v>46003</v>
      </c>
      <c r="AR2" s="49">
        <v>46004</v>
      </c>
      <c r="AS2" s="49">
        <v>46005</v>
      </c>
      <c r="AT2" s="16">
        <v>46006</v>
      </c>
      <c r="AU2" s="16">
        <v>46007</v>
      </c>
      <c r="AV2" s="16">
        <v>46008</v>
      </c>
      <c r="AW2" s="53">
        <v>46009</v>
      </c>
      <c r="AX2" s="53">
        <v>46010</v>
      </c>
      <c r="AY2" s="55">
        <v>46011</v>
      </c>
      <c r="AZ2" s="55">
        <v>46012</v>
      </c>
      <c r="BA2" s="53">
        <v>46013</v>
      </c>
      <c r="BB2" s="16">
        <v>46014</v>
      </c>
      <c r="BC2" s="16">
        <v>46015</v>
      </c>
      <c r="BD2" s="63">
        <v>46016</v>
      </c>
      <c r="BE2" s="64">
        <v>46017</v>
      </c>
      <c r="BF2" s="67">
        <v>46018</v>
      </c>
      <c r="BG2" s="67">
        <v>46019</v>
      </c>
      <c r="BH2" s="70">
        <v>46020</v>
      </c>
      <c r="BI2" s="70">
        <v>46021</v>
      </c>
      <c r="BJ2" s="70">
        <v>46022</v>
      </c>
      <c r="BK2" s="72">
        <v>46023</v>
      </c>
      <c r="BL2" s="72">
        <v>46024</v>
      </c>
      <c r="BM2" s="74">
        <v>46025</v>
      </c>
      <c r="BN2" s="74">
        <v>46026</v>
      </c>
      <c r="BO2" s="72">
        <v>46027</v>
      </c>
      <c r="BP2" s="72">
        <v>46028</v>
      </c>
      <c r="BQ2" s="72">
        <v>46029</v>
      </c>
      <c r="BR2" s="72">
        <v>46030</v>
      </c>
      <c r="BS2" s="72">
        <v>46031</v>
      </c>
      <c r="BT2" s="74">
        <v>46032</v>
      </c>
      <c r="BU2" s="74">
        <v>46033</v>
      </c>
      <c r="BV2" s="72">
        <v>46034</v>
      </c>
      <c r="BW2" s="72">
        <v>46035</v>
      </c>
      <c r="BX2" s="72">
        <v>46036</v>
      </c>
      <c r="BY2" s="72">
        <v>46037</v>
      </c>
      <c r="BZ2" s="72">
        <v>46038</v>
      </c>
      <c r="CA2" s="74">
        <v>46039</v>
      </c>
      <c r="CB2" s="74">
        <v>46040</v>
      </c>
      <c r="CC2" s="72">
        <v>46041</v>
      </c>
      <c r="CD2" s="72">
        <v>46042</v>
      </c>
      <c r="CE2" s="72">
        <v>46043</v>
      </c>
      <c r="CF2" s="72">
        <v>46044</v>
      </c>
      <c r="CG2" s="72">
        <v>46045</v>
      </c>
      <c r="CH2" s="74">
        <v>46046</v>
      </c>
      <c r="CI2" s="74">
        <v>46047</v>
      </c>
      <c r="CJ2" s="72">
        <v>46048</v>
      </c>
      <c r="CK2" s="72">
        <v>46049</v>
      </c>
      <c r="CL2" s="72">
        <v>46050</v>
      </c>
      <c r="CM2" s="72">
        <v>46051</v>
      </c>
      <c r="CN2" s="72">
        <v>46052</v>
      </c>
      <c r="CO2" s="74">
        <v>46053</v>
      </c>
      <c r="CP2" s="98">
        <v>46054</v>
      </c>
      <c r="CQ2" s="101">
        <v>46055</v>
      </c>
      <c r="CR2" s="101">
        <v>46056</v>
      </c>
      <c r="CS2" s="101">
        <v>46057</v>
      </c>
      <c r="CT2" s="101">
        <v>46058</v>
      </c>
      <c r="CU2" s="101">
        <v>46059</v>
      </c>
      <c r="CV2" s="98">
        <v>46060</v>
      </c>
      <c r="CW2" s="98">
        <v>46061</v>
      </c>
      <c r="CX2" s="101">
        <v>46062</v>
      </c>
      <c r="CY2" s="101">
        <v>46063</v>
      </c>
      <c r="CZ2" s="101">
        <v>46064</v>
      </c>
      <c r="DA2" s="101">
        <v>46065</v>
      </c>
      <c r="DB2" s="101">
        <v>46066</v>
      </c>
      <c r="DC2" s="98">
        <v>46067</v>
      </c>
      <c r="DD2" s="98">
        <v>46068</v>
      </c>
      <c r="DE2" s="101">
        <v>46069</v>
      </c>
      <c r="DF2" s="101">
        <v>46070</v>
      </c>
      <c r="DG2" s="101">
        <v>46071</v>
      </c>
      <c r="DH2" s="101">
        <v>46072</v>
      </c>
      <c r="DI2" s="101">
        <v>46073</v>
      </c>
      <c r="DJ2" s="98">
        <v>46074</v>
      </c>
      <c r="DK2" s="98">
        <v>46075</v>
      </c>
      <c r="DL2" s="101">
        <v>46076</v>
      </c>
      <c r="DM2" s="101">
        <v>46077</v>
      </c>
      <c r="DN2" s="101">
        <v>46078</v>
      </c>
      <c r="DO2" s="101">
        <v>46079</v>
      </c>
      <c r="DP2" s="101">
        <v>46080</v>
      </c>
      <c r="DQ2" s="143">
        <v>46081</v>
      </c>
      <c r="DR2" s="72">
        <v>46082</v>
      </c>
      <c r="DS2" s="72">
        <v>46083</v>
      </c>
      <c r="DT2" s="72">
        <v>46084</v>
      </c>
      <c r="DU2" s="72">
        <v>46085</v>
      </c>
      <c r="DV2" s="72">
        <v>46086</v>
      </c>
      <c r="DW2" s="72">
        <v>46087</v>
      </c>
      <c r="DX2" s="72">
        <v>46088</v>
      </c>
      <c r="DY2" s="72">
        <v>46089</v>
      </c>
      <c r="DZ2" s="72">
        <v>46090</v>
      </c>
      <c r="EA2" s="72">
        <v>46091</v>
      </c>
      <c r="EB2" s="72">
        <v>46092</v>
      </c>
      <c r="EC2" s="72">
        <v>46093</v>
      </c>
      <c r="ED2" s="72">
        <v>46094</v>
      </c>
      <c r="EE2" s="72">
        <v>46095</v>
      </c>
      <c r="EF2" s="72">
        <v>46096</v>
      </c>
      <c r="EG2" s="72">
        <v>46097</v>
      </c>
      <c r="EH2" s="72">
        <v>46098</v>
      </c>
      <c r="EI2" s="72">
        <v>46099</v>
      </c>
      <c r="EJ2" s="72">
        <v>46100</v>
      </c>
      <c r="EK2" s="72">
        <v>46101</v>
      </c>
      <c r="EL2" s="72">
        <v>46102</v>
      </c>
      <c r="EM2" s="72">
        <v>46103</v>
      </c>
      <c r="EN2" s="72">
        <v>46104</v>
      </c>
      <c r="EO2" s="72">
        <v>46105</v>
      </c>
      <c r="EP2" s="72">
        <v>46106</v>
      </c>
      <c r="EQ2" s="72">
        <v>46107</v>
      </c>
      <c r="ER2" s="72">
        <v>46108</v>
      </c>
      <c r="ES2" s="72">
        <v>46109</v>
      </c>
      <c r="ET2" s="72">
        <v>46110</v>
      </c>
      <c r="EU2" s="72">
        <v>46111</v>
      </c>
      <c r="EV2" s="280">
        <v>46112</v>
      </c>
      <c r="EW2" s="72">
        <v>46113</v>
      </c>
      <c r="EX2" s="72">
        <v>46114</v>
      </c>
      <c r="EY2" s="72">
        <v>46115</v>
      </c>
      <c r="EZ2" s="72">
        <v>46116</v>
      </c>
      <c r="FA2" s="72">
        <v>46117</v>
      </c>
      <c r="FB2" s="72">
        <v>46118</v>
      </c>
      <c r="FC2" s="72">
        <v>46119</v>
      </c>
      <c r="FD2" s="72">
        <v>46120</v>
      </c>
      <c r="FE2" s="72">
        <v>46121</v>
      </c>
      <c r="FF2" s="72">
        <v>46122</v>
      </c>
      <c r="FG2" s="72">
        <v>46123</v>
      </c>
      <c r="FH2" s="72">
        <v>46124</v>
      </c>
      <c r="FI2" s="72">
        <v>46125</v>
      </c>
      <c r="FJ2" s="72">
        <v>46126</v>
      </c>
      <c r="FK2" s="72">
        <v>46127</v>
      </c>
      <c r="FL2" s="72">
        <v>46128</v>
      </c>
      <c r="FM2" s="72">
        <v>46129</v>
      </c>
      <c r="FN2" s="72">
        <v>46130</v>
      </c>
      <c r="FO2" s="72">
        <v>46131</v>
      </c>
      <c r="FP2" s="72">
        <v>46132</v>
      </c>
      <c r="FQ2" s="72">
        <v>46133</v>
      </c>
      <c r="FR2" s="72">
        <v>46134</v>
      </c>
      <c r="FS2" s="72">
        <v>46135</v>
      </c>
      <c r="FT2" s="72">
        <v>46136</v>
      </c>
      <c r="FU2" s="72">
        <v>46137</v>
      </c>
      <c r="FV2" s="72">
        <v>46138</v>
      </c>
      <c r="FW2" s="72">
        <v>46139</v>
      </c>
      <c r="FX2" s="72">
        <v>46140</v>
      </c>
      <c r="FY2" s="72">
        <v>46141</v>
      </c>
      <c r="FZ2" s="281">
        <v>46142</v>
      </c>
    </row>
    <row r="3" spans="1:182">
      <c r="A3" s="17" t="s">
        <v>29</v>
      </c>
      <c r="B3" s="18">
        <v>73</v>
      </c>
      <c r="C3" s="18">
        <v>3</v>
      </c>
      <c r="D3" s="19">
        <v>108</v>
      </c>
      <c r="E3" s="19">
        <v>110</v>
      </c>
      <c r="F3" s="19">
        <v>110</v>
      </c>
      <c r="G3" s="19">
        <v>117</v>
      </c>
      <c r="H3" s="19">
        <v>113</v>
      </c>
      <c r="I3" s="18">
        <v>68</v>
      </c>
      <c r="J3" s="18">
        <v>4</v>
      </c>
      <c r="K3" s="19">
        <v>112</v>
      </c>
      <c r="L3" s="19">
        <v>111</v>
      </c>
      <c r="M3" s="20">
        <v>110</v>
      </c>
      <c r="N3" s="20">
        <v>107</v>
      </c>
      <c r="O3" s="20">
        <v>107</v>
      </c>
      <c r="P3" s="21">
        <v>82</v>
      </c>
      <c r="Q3" s="22">
        <v>7</v>
      </c>
      <c r="R3" s="23">
        <v>110</v>
      </c>
      <c r="S3" s="23">
        <v>116</v>
      </c>
      <c r="T3" s="23">
        <v>116</v>
      </c>
      <c r="U3" s="24">
        <v>104</v>
      </c>
      <c r="V3" s="25">
        <v>115</v>
      </c>
      <c r="W3" s="22">
        <v>59</v>
      </c>
      <c r="X3" s="22">
        <v>14</v>
      </c>
      <c r="Y3" s="25">
        <v>120</v>
      </c>
      <c r="Z3" s="24">
        <v>119</v>
      </c>
      <c r="AA3" s="25">
        <v>119</v>
      </c>
      <c r="AB3" s="20">
        <v>119</v>
      </c>
      <c r="AC3" s="20">
        <v>118</v>
      </c>
      <c r="AD3" s="21">
        <v>73</v>
      </c>
      <c r="AE3" s="22">
        <v>14</v>
      </c>
      <c r="AF3" s="26">
        <v>121</v>
      </c>
      <c r="AG3" s="27">
        <v>118</v>
      </c>
      <c r="AH3" s="27">
        <v>120</v>
      </c>
      <c r="AI3" s="27">
        <v>119</v>
      </c>
      <c r="AJ3" s="28">
        <v>118</v>
      </c>
      <c r="AK3" s="27">
        <v>62</v>
      </c>
      <c r="AL3" s="29">
        <v>12</v>
      </c>
      <c r="AM3" s="30">
        <v>118</v>
      </c>
      <c r="AN3" s="30">
        <v>120</v>
      </c>
      <c r="AO3" s="30">
        <v>120</v>
      </c>
      <c r="AP3" s="30">
        <v>119</v>
      </c>
      <c r="AQ3" s="30">
        <v>121</v>
      </c>
      <c r="AR3" s="30">
        <v>75</v>
      </c>
      <c r="AS3" s="30">
        <v>14</v>
      </c>
      <c r="AT3" s="30">
        <v>120</v>
      </c>
      <c r="AU3" s="30">
        <v>123</v>
      </c>
      <c r="AV3" s="29">
        <v>119</v>
      </c>
      <c r="AW3" s="30">
        <v>120</v>
      </c>
      <c r="AX3" s="56">
        <v>119</v>
      </c>
      <c r="AY3" s="56">
        <v>69</v>
      </c>
      <c r="AZ3" s="58">
        <v>13</v>
      </c>
      <c r="BA3" s="56">
        <v>112</v>
      </c>
      <c r="BB3" s="30">
        <v>116</v>
      </c>
      <c r="BC3" s="29">
        <v>59</v>
      </c>
      <c r="BD3" s="58">
        <v>11</v>
      </c>
      <c r="BE3" s="65">
        <v>114</v>
      </c>
      <c r="BF3" s="56">
        <v>59</v>
      </c>
      <c r="BG3" s="56">
        <v>11</v>
      </c>
      <c r="BH3" s="65">
        <v>117</v>
      </c>
      <c r="BI3" s="65">
        <v>117</v>
      </c>
      <c r="BJ3" s="65">
        <v>56</v>
      </c>
      <c r="BK3" s="26">
        <v>12</v>
      </c>
      <c r="BL3" s="56">
        <v>110</v>
      </c>
      <c r="BM3" s="56">
        <v>54</v>
      </c>
      <c r="BN3" s="56">
        <v>11</v>
      </c>
      <c r="BO3" s="56">
        <v>112</v>
      </c>
      <c r="BP3" s="56">
        <v>110</v>
      </c>
      <c r="BQ3" s="56">
        <v>111</v>
      </c>
      <c r="BR3" s="56">
        <v>108</v>
      </c>
      <c r="BS3" s="56">
        <v>105</v>
      </c>
      <c r="BT3" s="56">
        <v>63</v>
      </c>
      <c r="BU3" s="58">
        <v>14</v>
      </c>
      <c r="BV3" s="56">
        <v>121</v>
      </c>
      <c r="BW3" s="56">
        <v>121</v>
      </c>
      <c r="BX3" s="56">
        <v>123</v>
      </c>
      <c r="BY3" s="56">
        <v>124</v>
      </c>
      <c r="BZ3" s="56">
        <v>124</v>
      </c>
      <c r="CA3" s="56">
        <v>68</v>
      </c>
      <c r="CB3" s="58">
        <v>13</v>
      </c>
      <c r="CC3" s="56">
        <v>128</v>
      </c>
      <c r="CD3" s="56">
        <v>130</v>
      </c>
      <c r="CE3" s="56">
        <v>129</v>
      </c>
      <c r="CF3" s="56">
        <v>132</v>
      </c>
      <c r="CG3" s="58">
        <v>132</v>
      </c>
      <c r="CH3" s="89">
        <v>73</v>
      </c>
      <c r="CI3" s="89">
        <v>16</v>
      </c>
      <c r="CJ3" s="58">
        <v>135</v>
      </c>
      <c r="CK3" s="56">
        <v>132</v>
      </c>
      <c r="CL3" s="56">
        <v>132</v>
      </c>
      <c r="CM3" s="56">
        <v>131</v>
      </c>
      <c r="CN3" s="56">
        <v>131</v>
      </c>
      <c r="CO3" s="65">
        <v>81</v>
      </c>
      <c r="CP3" s="56">
        <v>12</v>
      </c>
      <c r="CQ3" s="56">
        <v>131</v>
      </c>
      <c r="CR3" s="56">
        <v>127</v>
      </c>
      <c r="CS3" s="56">
        <v>124</v>
      </c>
      <c r="CT3" s="56">
        <v>129</v>
      </c>
      <c r="CU3" s="58">
        <v>130</v>
      </c>
      <c r="CV3" s="56">
        <v>64</v>
      </c>
      <c r="CW3" s="56">
        <v>11</v>
      </c>
      <c r="CX3" s="56">
        <v>125</v>
      </c>
      <c r="CY3" s="56">
        <v>126</v>
      </c>
      <c r="CZ3" s="56">
        <v>125</v>
      </c>
      <c r="DA3" s="56">
        <v>126</v>
      </c>
      <c r="DB3" s="56">
        <v>119</v>
      </c>
      <c r="DC3" s="56">
        <v>72</v>
      </c>
      <c r="DD3" s="56">
        <v>13</v>
      </c>
      <c r="DE3" s="56">
        <v>126</v>
      </c>
      <c r="DF3" s="56">
        <v>123</v>
      </c>
      <c r="DG3" s="56">
        <v>122</v>
      </c>
      <c r="DH3" s="56">
        <v>125</v>
      </c>
      <c r="DI3" s="56">
        <v>130</v>
      </c>
      <c r="DJ3" s="56">
        <v>73</v>
      </c>
      <c r="DK3" s="56">
        <v>14</v>
      </c>
      <c r="DL3" s="56">
        <v>130</v>
      </c>
      <c r="DM3" s="56">
        <v>128</v>
      </c>
      <c r="DN3" s="56">
        <v>131</v>
      </c>
      <c r="DO3" s="56">
        <v>131</v>
      </c>
      <c r="DP3" s="56">
        <v>130</v>
      </c>
      <c r="DQ3" s="56">
        <v>94</v>
      </c>
      <c r="DR3" s="56">
        <v>12</v>
      </c>
      <c r="DS3" s="56">
        <v>136</v>
      </c>
      <c r="DT3" s="56">
        <v>138</v>
      </c>
      <c r="DU3" s="56">
        <v>137</v>
      </c>
      <c r="DV3" s="56">
        <v>137</v>
      </c>
      <c r="DW3" s="56">
        <v>139</v>
      </c>
      <c r="DX3" s="56">
        <v>75</v>
      </c>
      <c r="DY3" s="56">
        <v>14</v>
      </c>
      <c r="DZ3" s="56">
        <v>116</v>
      </c>
      <c r="EA3" s="56">
        <v>138</v>
      </c>
      <c r="EB3" s="56">
        <v>140</v>
      </c>
      <c r="EC3" s="56">
        <v>139</v>
      </c>
      <c r="ED3" s="56">
        <v>139</v>
      </c>
      <c r="EE3" s="56">
        <v>84</v>
      </c>
      <c r="EF3" s="56">
        <v>14</v>
      </c>
      <c r="EG3" s="56">
        <v>137</v>
      </c>
      <c r="EH3" s="56">
        <v>144</v>
      </c>
      <c r="EI3" s="56">
        <v>149</v>
      </c>
      <c r="EJ3" s="56">
        <v>147</v>
      </c>
      <c r="EK3" s="56">
        <v>150</v>
      </c>
      <c r="EL3" s="56">
        <v>87</v>
      </c>
      <c r="EM3" s="56">
        <v>14</v>
      </c>
      <c r="EN3" s="56">
        <v>143</v>
      </c>
      <c r="EO3" s="56">
        <v>154</v>
      </c>
      <c r="EP3" s="56">
        <v>151</v>
      </c>
      <c r="EQ3" s="56">
        <v>152</v>
      </c>
      <c r="ER3" s="56">
        <v>150</v>
      </c>
      <c r="ES3" s="56">
        <v>95</v>
      </c>
      <c r="ET3" s="56">
        <v>16</v>
      </c>
      <c r="EU3" s="56">
        <v>149</v>
      </c>
      <c r="EV3" s="65">
        <v>149</v>
      </c>
      <c r="EW3" s="65">
        <v>149</v>
      </c>
      <c r="EX3" s="65">
        <v>145</v>
      </c>
      <c r="EY3" s="65">
        <v>78</v>
      </c>
      <c r="EZ3" s="65">
        <v>61</v>
      </c>
      <c r="FA3" s="65">
        <v>12</v>
      </c>
      <c r="FB3" s="65">
        <v>148</v>
      </c>
      <c r="FC3" s="65">
        <v>149</v>
      </c>
      <c r="FD3" s="65">
        <v>146</v>
      </c>
      <c r="FE3" s="65">
        <v>147</v>
      </c>
      <c r="FF3" s="65">
        <v>144</v>
      </c>
      <c r="FG3" s="65">
        <v>88</v>
      </c>
      <c r="FH3" s="65">
        <v>13</v>
      </c>
      <c r="FI3" s="65">
        <v>144</v>
      </c>
      <c r="FJ3" s="65">
        <v>143</v>
      </c>
      <c r="FK3" s="65">
        <v>142</v>
      </c>
      <c r="FL3" s="65">
        <v>143</v>
      </c>
      <c r="FM3" s="65">
        <v>139</v>
      </c>
      <c r="FN3" s="65">
        <v>80</v>
      </c>
      <c r="FO3" s="65">
        <v>14</v>
      </c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56"/>
    </row>
    <row r="4" spans="1:182">
      <c r="A4" s="35" t="s">
        <v>30</v>
      </c>
      <c r="B4" s="18">
        <v>0</v>
      </c>
      <c r="C4" s="18">
        <v>0</v>
      </c>
      <c r="D4" s="19">
        <v>0</v>
      </c>
      <c r="E4" s="19">
        <v>0</v>
      </c>
      <c r="F4" s="19">
        <v>0</v>
      </c>
      <c r="G4" s="19">
        <v>0</v>
      </c>
      <c r="H4" s="19">
        <v>0</v>
      </c>
      <c r="I4" s="18">
        <v>0</v>
      </c>
      <c r="J4" s="18">
        <v>0</v>
      </c>
      <c r="K4" s="19">
        <v>1</v>
      </c>
      <c r="L4" s="19">
        <v>0</v>
      </c>
      <c r="M4" s="20">
        <v>0</v>
      </c>
      <c r="N4" s="20">
        <v>0</v>
      </c>
      <c r="O4" s="20">
        <v>0</v>
      </c>
      <c r="P4" s="31">
        <v>0</v>
      </c>
      <c r="Q4" s="32">
        <v>0</v>
      </c>
      <c r="R4" s="23">
        <v>0</v>
      </c>
      <c r="S4" s="23">
        <v>0</v>
      </c>
      <c r="T4" s="23">
        <v>0</v>
      </c>
      <c r="U4" s="33">
        <v>0</v>
      </c>
      <c r="V4" s="20">
        <v>0</v>
      </c>
      <c r="W4" s="32">
        <v>0</v>
      </c>
      <c r="X4" s="32">
        <v>0</v>
      </c>
      <c r="Y4" s="20">
        <v>0</v>
      </c>
      <c r="Z4" s="33">
        <v>0</v>
      </c>
      <c r="AA4" s="20">
        <v>0</v>
      </c>
      <c r="AB4" s="20">
        <v>0</v>
      </c>
      <c r="AC4" s="20">
        <v>0</v>
      </c>
      <c r="AD4" s="31">
        <v>0</v>
      </c>
      <c r="AE4" s="32">
        <v>0</v>
      </c>
      <c r="AF4" s="34">
        <v>0</v>
      </c>
      <c r="AG4" s="27">
        <v>0</v>
      </c>
      <c r="AH4" s="27">
        <v>0</v>
      </c>
      <c r="AI4" s="27">
        <v>0</v>
      </c>
      <c r="AJ4" s="28">
        <v>0</v>
      </c>
      <c r="AK4" s="27">
        <v>0</v>
      </c>
      <c r="AL4" s="29">
        <v>0</v>
      </c>
      <c r="AM4" s="30">
        <v>0</v>
      </c>
      <c r="AN4" s="30">
        <v>0</v>
      </c>
      <c r="AO4" s="30">
        <v>0</v>
      </c>
      <c r="AP4" s="30">
        <v>0</v>
      </c>
      <c r="AQ4" s="30">
        <v>0</v>
      </c>
      <c r="AR4" s="30">
        <v>0</v>
      </c>
      <c r="AS4" s="30">
        <v>0</v>
      </c>
      <c r="AT4" s="30">
        <v>0</v>
      </c>
      <c r="AU4" s="30">
        <v>0</v>
      </c>
      <c r="AV4" s="29">
        <v>0</v>
      </c>
      <c r="AW4" s="30">
        <v>0</v>
      </c>
      <c r="AX4" s="56">
        <v>0</v>
      </c>
      <c r="AY4" s="56">
        <v>0</v>
      </c>
      <c r="AZ4" s="59">
        <v>0</v>
      </c>
      <c r="BA4" s="56">
        <v>0</v>
      </c>
      <c r="BB4" s="30">
        <v>0</v>
      </c>
      <c r="BC4" s="29">
        <v>0</v>
      </c>
      <c r="BD4" s="58">
        <v>0</v>
      </c>
      <c r="BE4" s="65">
        <v>1</v>
      </c>
      <c r="BF4" s="56">
        <v>0</v>
      </c>
      <c r="BG4" s="56">
        <v>0</v>
      </c>
      <c r="BH4" s="65">
        <v>1</v>
      </c>
      <c r="BI4" s="65">
        <v>1</v>
      </c>
      <c r="BJ4" s="65">
        <v>0</v>
      </c>
      <c r="BK4" s="34">
        <v>1</v>
      </c>
      <c r="BL4" s="56">
        <v>2</v>
      </c>
      <c r="BM4" s="56">
        <v>0</v>
      </c>
      <c r="BN4" s="56">
        <v>0</v>
      </c>
      <c r="BO4" s="56">
        <v>0</v>
      </c>
      <c r="BP4" s="56">
        <v>0</v>
      </c>
      <c r="BQ4" s="56">
        <v>0</v>
      </c>
      <c r="BR4" s="56">
        <v>0</v>
      </c>
      <c r="BS4" s="56">
        <v>0</v>
      </c>
      <c r="BT4" s="56">
        <v>0</v>
      </c>
      <c r="BU4" s="59">
        <v>0</v>
      </c>
      <c r="BV4" s="56">
        <v>2</v>
      </c>
      <c r="BW4" s="56">
        <v>0</v>
      </c>
      <c r="BX4" s="56">
        <v>0</v>
      </c>
      <c r="BY4" s="56">
        <v>0</v>
      </c>
      <c r="BZ4" s="56">
        <v>0</v>
      </c>
      <c r="CA4" s="56">
        <v>0</v>
      </c>
      <c r="CB4" s="59">
        <v>0</v>
      </c>
      <c r="CC4" s="56">
        <v>1</v>
      </c>
      <c r="CD4" s="56">
        <v>0</v>
      </c>
      <c r="CE4" s="56">
        <v>0</v>
      </c>
      <c r="CF4" s="56">
        <v>0</v>
      </c>
      <c r="CG4" s="59">
        <v>0</v>
      </c>
      <c r="CH4" s="90">
        <v>0</v>
      </c>
      <c r="CI4" s="90">
        <v>0</v>
      </c>
      <c r="CJ4" s="59">
        <v>0</v>
      </c>
      <c r="CK4" s="56">
        <v>0</v>
      </c>
      <c r="CL4" s="56">
        <v>0</v>
      </c>
      <c r="CM4" s="56">
        <v>0</v>
      </c>
      <c r="CN4" s="56">
        <v>0</v>
      </c>
      <c r="CO4" s="65">
        <v>0</v>
      </c>
      <c r="CP4" s="56">
        <v>0</v>
      </c>
      <c r="CQ4" s="56">
        <v>0</v>
      </c>
      <c r="CR4" s="56">
        <v>0</v>
      </c>
      <c r="CS4" s="56">
        <v>0</v>
      </c>
      <c r="CT4" s="56">
        <v>0</v>
      </c>
      <c r="CU4" s="59">
        <v>0</v>
      </c>
      <c r="CV4" s="56">
        <v>0</v>
      </c>
      <c r="CW4" s="56">
        <v>0</v>
      </c>
      <c r="CX4" s="56">
        <v>0</v>
      </c>
      <c r="CY4" s="56">
        <v>0</v>
      </c>
      <c r="CZ4" s="56">
        <v>0</v>
      </c>
      <c r="DA4" s="56">
        <v>0</v>
      </c>
      <c r="DB4" s="56">
        <v>0</v>
      </c>
      <c r="DC4" s="56">
        <v>0</v>
      </c>
      <c r="DD4" s="56">
        <v>0</v>
      </c>
      <c r="DE4" s="56">
        <v>0</v>
      </c>
      <c r="DF4" s="56">
        <v>0</v>
      </c>
      <c r="DG4" s="56">
        <v>0</v>
      </c>
      <c r="DH4" s="56">
        <v>0</v>
      </c>
      <c r="DI4" s="56">
        <v>0</v>
      </c>
      <c r="DJ4" s="56">
        <v>0</v>
      </c>
      <c r="DK4" s="56">
        <v>0</v>
      </c>
      <c r="DL4" s="56">
        <v>0</v>
      </c>
      <c r="DM4" s="56">
        <v>0</v>
      </c>
      <c r="DN4" s="56">
        <v>0</v>
      </c>
      <c r="DO4" s="56">
        <v>0</v>
      </c>
      <c r="DP4" s="56">
        <v>0</v>
      </c>
      <c r="DQ4" s="56">
        <v>0</v>
      </c>
      <c r="DR4" s="56">
        <v>0</v>
      </c>
      <c r="DS4" s="56">
        <v>0</v>
      </c>
      <c r="DT4" s="56">
        <v>0</v>
      </c>
      <c r="DU4" s="56">
        <v>0</v>
      </c>
      <c r="DV4" s="56">
        <v>0</v>
      </c>
      <c r="DW4" s="56">
        <v>0</v>
      </c>
      <c r="DX4" s="56">
        <v>2</v>
      </c>
      <c r="DY4" s="56">
        <v>0</v>
      </c>
      <c r="DZ4" s="56">
        <v>0</v>
      </c>
      <c r="EA4" s="56">
        <v>0</v>
      </c>
      <c r="EB4" s="56">
        <v>0</v>
      </c>
      <c r="EC4" s="56">
        <v>0</v>
      </c>
      <c r="ED4" s="56">
        <v>0</v>
      </c>
      <c r="EE4" s="56">
        <v>0</v>
      </c>
      <c r="EF4" s="56">
        <v>0</v>
      </c>
      <c r="EG4" s="56">
        <v>0</v>
      </c>
      <c r="EH4" s="56">
        <v>0</v>
      </c>
      <c r="EI4" s="56">
        <v>0</v>
      </c>
      <c r="EJ4" s="56">
        <v>0</v>
      </c>
      <c r="EK4" s="56">
        <v>0</v>
      </c>
      <c r="EL4" s="56">
        <v>0</v>
      </c>
      <c r="EM4" s="56">
        <v>0</v>
      </c>
      <c r="EN4" s="56">
        <v>0</v>
      </c>
      <c r="EO4" s="56">
        <v>0</v>
      </c>
      <c r="EP4" s="56">
        <v>0</v>
      </c>
      <c r="EQ4" s="56">
        <v>0</v>
      </c>
      <c r="ER4" s="56">
        <v>0</v>
      </c>
      <c r="ES4" s="56">
        <v>0</v>
      </c>
      <c r="ET4" s="56">
        <v>0</v>
      </c>
      <c r="EU4" s="56">
        <v>0</v>
      </c>
      <c r="EV4" s="65">
        <v>0</v>
      </c>
      <c r="EW4" s="65">
        <v>0</v>
      </c>
      <c r="EX4" s="65">
        <v>0</v>
      </c>
      <c r="EY4" s="65">
        <v>0</v>
      </c>
      <c r="EZ4" s="65">
        <v>0</v>
      </c>
      <c r="FA4" s="65">
        <v>0</v>
      </c>
      <c r="FB4" s="65">
        <v>0</v>
      </c>
      <c r="FC4" s="65">
        <v>0</v>
      </c>
      <c r="FD4" s="65">
        <v>0</v>
      </c>
      <c r="FE4" s="65">
        <v>0</v>
      </c>
      <c r="FF4" s="65">
        <v>0</v>
      </c>
      <c r="FG4" s="65">
        <v>0</v>
      </c>
      <c r="FH4" s="65">
        <v>0</v>
      </c>
      <c r="FI4" s="65">
        <v>0</v>
      </c>
      <c r="FJ4" s="65">
        <v>0</v>
      </c>
      <c r="FK4" s="65">
        <v>0</v>
      </c>
      <c r="FL4" s="65">
        <v>0</v>
      </c>
      <c r="FM4" s="65">
        <v>0</v>
      </c>
      <c r="FN4" s="65">
        <v>0</v>
      </c>
      <c r="FO4" s="65">
        <v>0</v>
      </c>
      <c r="FP4" s="65"/>
      <c r="FQ4" s="65"/>
      <c r="FR4" s="65"/>
      <c r="FS4" s="65"/>
      <c r="FT4" s="65"/>
      <c r="FU4" s="65"/>
      <c r="FV4" s="65"/>
      <c r="FW4" s="65"/>
      <c r="FX4" s="65"/>
      <c r="FY4" s="65"/>
      <c r="FZ4" s="56"/>
    </row>
    <row r="5" spans="1:182">
      <c r="A5" s="35" t="s">
        <v>7</v>
      </c>
      <c r="B5" s="18">
        <v>54</v>
      </c>
      <c r="C5" s="18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8">
        <v>52</v>
      </c>
      <c r="J5" s="18">
        <v>118</v>
      </c>
      <c r="K5" s="19">
        <v>0</v>
      </c>
      <c r="L5" s="19">
        <v>0</v>
      </c>
      <c r="M5" s="20">
        <v>0</v>
      </c>
      <c r="N5" s="20">
        <v>0</v>
      </c>
      <c r="O5" s="20">
        <v>0</v>
      </c>
      <c r="P5" s="31">
        <v>42</v>
      </c>
      <c r="Q5" s="32">
        <v>0</v>
      </c>
      <c r="R5" s="23">
        <v>0</v>
      </c>
      <c r="S5" s="23">
        <v>0</v>
      </c>
      <c r="T5" s="23">
        <v>0</v>
      </c>
      <c r="U5" s="33">
        <v>15</v>
      </c>
      <c r="V5" s="20">
        <v>0</v>
      </c>
      <c r="W5" s="32">
        <v>0</v>
      </c>
      <c r="X5" s="32">
        <v>0</v>
      </c>
      <c r="Y5" s="20">
        <v>0</v>
      </c>
      <c r="Z5" s="33">
        <v>0</v>
      </c>
      <c r="AA5" s="20">
        <v>0</v>
      </c>
      <c r="AB5" s="20">
        <v>0</v>
      </c>
      <c r="AC5" s="20">
        <v>0</v>
      </c>
      <c r="AD5" s="31">
        <v>0</v>
      </c>
      <c r="AE5" s="32">
        <v>0</v>
      </c>
      <c r="AF5" s="34">
        <v>0</v>
      </c>
      <c r="AG5" s="27">
        <v>0</v>
      </c>
      <c r="AH5" s="27">
        <v>0</v>
      </c>
      <c r="AI5" s="27">
        <v>0</v>
      </c>
      <c r="AJ5" s="28">
        <v>0</v>
      </c>
      <c r="AK5" s="27">
        <v>54</v>
      </c>
      <c r="AL5" s="29">
        <v>109</v>
      </c>
      <c r="AM5" s="30">
        <v>0</v>
      </c>
      <c r="AN5" s="30">
        <v>0</v>
      </c>
      <c r="AO5" s="30">
        <v>0</v>
      </c>
      <c r="AP5" s="30">
        <v>0</v>
      </c>
      <c r="AQ5" s="30">
        <v>0</v>
      </c>
      <c r="AR5" s="30">
        <v>47</v>
      </c>
      <c r="AS5" s="30">
        <v>114</v>
      </c>
      <c r="AT5" s="30">
        <v>0</v>
      </c>
      <c r="AU5" s="30">
        <v>0</v>
      </c>
      <c r="AV5" s="29">
        <v>0</v>
      </c>
      <c r="AW5" s="30">
        <v>0</v>
      </c>
      <c r="AX5" s="56">
        <v>0</v>
      </c>
      <c r="AY5" s="56">
        <v>52</v>
      </c>
      <c r="AZ5" s="59">
        <v>112</v>
      </c>
      <c r="BA5" s="56">
        <v>0</v>
      </c>
      <c r="BB5" s="30">
        <v>0</v>
      </c>
      <c r="BC5" s="29">
        <v>57</v>
      </c>
      <c r="BD5" s="58">
        <v>110</v>
      </c>
      <c r="BE5" s="65">
        <v>0</v>
      </c>
      <c r="BF5" s="56">
        <v>66</v>
      </c>
      <c r="BG5" s="56">
        <v>118</v>
      </c>
      <c r="BH5" s="65">
        <v>0</v>
      </c>
      <c r="BI5" s="65">
        <v>0</v>
      </c>
      <c r="BJ5" s="65">
        <v>61</v>
      </c>
      <c r="BK5" s="34">
        <v>109</v>
      </c>
      <c r="BL5" s="56">
        <v>0</v>
      </c>
      <c r="BM5" s="56">
        <v>72</v>
      </c>
      <c r="BN5" s="56">
        <v>118</v>
      </c>
      <c r="BO5" s="56">
        <v>0</v>
      </c>
      <c r="BP5" s="56">
        <v>0</v>
      </c>
      <c r="BQ5" s="56">
        <v>0</v>
      </c>
      <c r="BR5" s="56">
        <v>0</v>
      </c>
      <c r="BS5" s="56">
        <v>0</v>
      </c>
      <c r="BT5" s="56">
        <v>53</v>
      </c>
      <c r="BU5" s="59">
        <v>111</v>
      </c>
      <c r="BV5" s="56">
        <v>0</v>
      </c>
      <c r="BW5" s="56">
        <v>0</v>
      </c>
      <c r="BX5" s="56">
        <v>0</v>
      </c>
      <c r="BY5" s="56">
        <v>0</v>
      </c>
      <c r="BZ5" s="56">
        <v>0</v>
      </c>
      <c r="CA5" s="56">
        <v>67</v>
      </c>
      <c r="CB5" s="59">
        <v>134</v>
      </c>
      <c r="CC5" s="56">
        <v>0</v>
      </c>
      <c r="CD5" s="56">
        <v>0</v>
      </c>
      <c r="CE5" s="56">
        <v>0</v>
      </c>
      <c r="CF5" s="56">
        <v>0</v>
      </c>
      <c r="CG5" s="59">
        <v>0</v>
      </c>
      <c r="CH5" s="90">
        <v>69</v>
      </c>
      <c r="CI5" s="90">
        <v>130</v>
      </c>
      <c r="CJ5" s="59">
        <v>0</v>
      </c>
      <c r="CK5" s="56">
        <v>0</v>
      </c>
      <c r="CL5" s="56">
        <v>0</v>
      </c>
      <c r="CM5" s="56">
        <v>0</v>
      </c>
      <c r="CN5" s="56">
        <v>0</v>
      </c>
      <c r="CO5" s="65">
        <v>0</v>
      </c>
      <c r="CP5" s="56">
        <v>0</v>
      </c>
      <c r="CQ5" s="56">
        <v>0</v>
      </c>
      <c r="CR5" s="56">
        <v>0</v>
      </c>
      <c r="CS5" s="56">
        <v>0</v>
      </c>
      <c r="CT5" s="56">
        <v>0</v>
      </c>
      <c r="CU5" s="59">
        <v>0</v>
      </c>
      <c r="CV5" s="56">
        <v>80</v>
      </c>
      <c r="CW5" s="56">
        <v>133</v>
      </c>
      <c r="CX5" s="56">
        <v>0</v>
      </c>
      <c r="CY5" s="56">
        <v>0</v>
      </c>
      <c r="CZ5" s="56">
        <v>0</v>
      </c>
      <c r="DA5" s="56">
        <v>0</v>
      </c>
      <c r="DB5" s="56">
        <v>0</v>
      </c>
      <c r="DC5" s="56">
        <v>55</v>
      </c>
      <c r="DD5" s="56">
        <v>114</v>
      </c>
      <c r="DE5" s="56">
        <v>0</v>
      </c>
      <c r="DF5" s="56">
        <v>0</v>
      </c>
      <c r="DG5" s="56">
        <v>0</v>
      </c>
      <c r="DH5" s="56">
        <v>0</v>
      </c>
      <c r="DI5" s="56">
        <v>0</v>
      </c>
      <c r="DJ5" s="56">
        <v>59</v>
      </c>
      <c r="DK5" s="56">
        <v>118</v>
      </c>
      <c r="DL5" s="56">
        <v>0</v>
      </c>
      <c r="DM5" s="56">
        <v>0</v>
      </c>
      <c r="DN5" s="56">
        <v>0</v>
      </c>
      <c r="DO5" s="56">
        <v>0</v>
      </c>
      <c r="DP5" s="56">
        <v>0</v>
      </c>
      <c r="DQ5" s="56">
        <v>44</v>
      </c>
      <c r="DR5" s="56">
        <v>128</v>
      </c>
      <c r="DS5" s="56">
        <v>0</v>
      </c>
      <c r="DT5" s="56">
        <v>0</v>
      </c>
      <c r="DU5" s="56">
        <v>0</v>
      </c>
      <c r="DV5" s="56">
        <v>0</v>
      </c>
      <c r="DW5" s="56">
        <v>0</v>
      </c>
      <c r="DX5" s="56">
        <v>69</v>
      </c>
      <c r="DY5" s="56">
        <v>132</v>
      </c>
      <c r="DZ5" s="56">
        <v>19</v>
      </c>
      <c r="EA5" s="56">
        <v>0</v>
      </c>
      <c r="EB5" s="56">
        <v>0</v>
      </c>
      <c r="EC5" s="56">
        <v>0</v>
      </c>
      <c r="ED5" s="56">
        <v>0</v>
      </c>
      <c r="EE5" s="56">
        <v>69</v>
      </c>
      <c r="EF5" s="56">
        <v>144</v>
      </c>
      <c r="EG5" s="56">
        <v>0</v>
      </c>
      <c r="EH5" s="56">
        <v>0</v>
      </c>
      <c r="EI5" s="56">
        <v>0</v>
      </c>
      <c r="EJ5" s="56">
        <v>4</v>
      </c>
      <c r="EK5" s="56">
        <v>0</v>
      </c>
      <c r="EL5" s="56">
        <v>67</v>
      </c>
      <c r="EM5" s="56">
        <v>144</v>
      </c>
      <c r="EN5" s="56">
        <v>6</v>
      </c>
      <c r="EO5" s="56">
        <v>0</v>
      </c>
      <c r="EP5" s="56">
        <v>0</v>
      </c>
      <c r="EQ5" s="56">
        <v>0</v>
      </c>
      <c r="ER5" s="56">
        <v>0</v>
      </c>
      <c r="ES5" s="56">
        <v>64</v>
      </c>
      <c r="ET5" s="56">
        <v>143</v>
      </c>
      <c r="EU5" s="56">
        <v>0</v>
      </c>
      <c r="EV5" s="65">
        <v>0</v>
      </c>
      <c r="EW5" s="65">
        <v>0</v>
      </c>
      <c r="EX5" s="65">
        <v>0</v>
      </c>
      <c r="EY5" s="65">
        <v>72</v>
      </c>
      <c r="EZ5" s="65">
        <v>89</v>
      </c>
      <c r="FA5" s="65">
        <v>138</v>
      </c>
      <c r="FB5" s="65">
        <v>0</v>
      </c>
      <c r="FC5" s="65">
        <v>0</v>
      </c>
      <c r="FD5" s="65">
        <v>0</v>
      </c>
      <c r="FE5" s="65">
        <v>0</v>
      </c>
      <c r="FF5" s="65">
        <v>0</v>
      </c>
      <c r="FG5" s="65">
        <v>62</v>
      </c>
      <c r="FH5" s="65">
        <v>137</v>
      </c>
      <c r="FI5" s="65">
        <v>0</v>
      </c>
      <c r="FJ5" s="65">
        <v>0</v>
      </c>
      <c r="FK5" s="65">
        <v>0</v>
      </c>
      <c r="FL5" s="65">
        <v>0</v>
      </c>
      <c r="FM5" s="65">
        <v>0</v>
      </c>
      <c r="FN5" s="65">
        <v>82</v>
      </c>
      <c r="FO5" s="65">
        <v>148</v>
      </c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56"/>
    </row>
    <row r="6" spans="1:182">
      <c r="A6" s="35" t="s">
        <v>31</v>
      </c>
      <c r="B6" s="18">
        <v>1</v>
      </c>
      <c r="C6" s="18">
        <v>0</v>
      </c>
      <c r="D6" s="19">
        <v>4</v>
      </c>
      <c r="E6" s="19">
        <v>4</v>
      </c>
      <c r="F6" s="19">
        <v>3</v>
      </c>
      <c r="G6" s="19">
        <v>2</v>
      </c>
      <c r="H6" s="19">
        <v>1</v>
      </c>
      <c r="I6" s="18">
        <v>1</v>
      </c>
      <c r="J6" s="18">
        <v>0</v>
      </c>
      <c r="K6" s="19">
        <v>2</v>
      </c>
      <c r="L6" s="19">
        <v>3</v>
      </c>
      <c r="M6" s="20">
        <v>2</v>
      </c>
      <c r="N6" s="20">
        <v>4</v>
      </c>
      <c r="O6" s="20">
        <v>5</v>
      </c>
      <c r="P6" s="31">
        <v>4</v>
      </c>
      <c r="Q6" s="32">
        <v>0</v>
      </c>
      <c r="R6" s="23">
        <v>3</v>
      </c>
      <c r="S6" s="23">
        <v>3</v>
      </c>
      <c r="T6" s="23">
        <v>3</v>
      </c>
      <c r="U6" s="33">
        <v>3</v>
      </c>
      <c r="V6" s="20">
        <v>5</v>
      </c>
      <c r="W6" s="32">
        <v>0</v>
      </c>
      <c r="X6" s="32">
        <v>0</v>
      </c>
      <c r="Y6" s="20">
        <v>4</v>
      </c>
      <c r="Z6" s="33">
        <v>4</v>
      </c>
      <c r="AA6" s="20">
        <v>4</v>
      </c>
      <c r="AB6" s="20">
        <v>2</v>
      </c>
      <c r="AC6" s="20">
        <v>2</v>
      </c>
      <c r="AD6" s="31">
        <v>0</v>
      </c>
      <c r="AE6" s="32">
        <v>0</v>
      </c>
      <c r="AF6" s="34">
        <v>2</v>
      </c>
      <c r="AG6" s="27">
        <v>5</v>
      </c>
      <c r="AH6" s="27">
        <v>2</v>
      </c>
      <c r="AI6" s="27">
        <v>3</v>
      </c>
      <c r="AJ6" s="28">
        <v>5</v>
      </c>
      <c r="AK6" s="27">
        <v>5</v>
      </c>
      <c r="AL6" s="29">
        <v>5</v>
      </c>
      <c r="AM6" s="30">
        <v>4</v>
      </c>
      <c r="AN6" s="30">
        <v>5</v>
      </c>
      <c r="AO6" s="30">
        <v>5</v>
      </c>
      <c r="AP6" s="30">
        <v>6</v>
      </c>
      <c r="AQ6" s="30">
        <v>4</v>
      </c>
      <c r="AR6" s="30">
        <v>4</v>
      </c>
      <c r="AS6" s="30">
        <v>4</v>
      </c>
      <c r="AT6" s="30">
        <v>7</v>
      </c>
      <c r="AU6" s="30">
        <v>7</v>
      </c>
      <c r="AV6" s="29">
        <v>8</v>
      </c>
      <c r="AW6" s="30">
        <v>7</v>
      </c>
      <c r="AX6" s="56">
        <v>7</v>
      </c>
      <c r="AY6" s="56">
        <v>6</v>
      </c>
      <c r="AZ6" s="59">
        <v>5</v>
      </c>
      <c r="BA6" s="56">
        <v>11</v>
      </c>
      <c r="BB6" s="30">
        <v>5</v>
      </c>
      <c r="BC6" s="29">
        <v>1</v>
      </c>
      <c r="BD6" s="58">
        <v>3</v>
      </c>
      <c r="BE6" s="65">
        <v>5</v>
      </c>
      <c r="BF6" s="56">
        <v>1</v>
      </c>
      <c r="BG6" s="56">
        <v>1</v>
      </c>
      <c r="BH6" s="65">
        <v>4</v>
      </c>
      <c r="BI6" s="65">
        <v>4</v>
      </c>
      <c r="BJ6" s="65">
        <v>6</v>
      </c>
      <c r="BK6" s="34">
        <v>5</v>
      </c>
      <c r="BL6" s="56">
        <v>9</v>
      </c>
      <c r="BM6" s="56">
        <v>0</v>
      </c>
      <c r="BN6" s="56">
        <v>0</v>
      </c>
      <c r="BO6" s="56">
        <v>6</v>
      </c>
      <c r="BP6" s="56">
        <v>4</v>
      </c>
      <c r="BQ6" s="56">
        <v>3</v>
      </c>
      <c r="BR6" s="56">
        <v>3</v>
      </c>
      <c r="BS6" s="56">
        <v>6</v>
      </c>
      <c r="BT6" s="56">
        <v>0</v>
      </c>
      <c r="BU6" s="59">
        <v>0</v>
      </c>
      <c r="BV6" s="56">
        <v>5</v>
      </c>
      <c r="BW6" s="56">
        <v>5</v>
      </c>
      <c r="BX6" s="56">
        <v>3</v>
      </c>
      <c r="BY6" s="56">
        <v>2</v>
      </c>
      <c r="BZ6" s="56">
        <v>2</v>
      </c>
      <c r="CA6" s="56">
        <v>0</v>
      </c>
      <c r="CB6" s="59">
        <v>0</v>
      </c>
      <c r="CC6" s="56">
        <v>3</v>
      </c>
      <c r="CD6" s="56">
        <v>5</v>
      </c>
      <c r="CE6" s="56">
        <v>6</v>
      </c>
      <c r="CF6" s="56">
        <v>3</v>
      </c>
      <c r="CG6" s="59">
        <v>3</v>
      </c>
      <c r="CH6" s="90">
        <v>0</v>
      </c>
      <c r="CI6" s="90">
        <v>0</v>
      </c>
      <c r="CJ6" s="59">
        <v>2</v>
      </c>
      <c r="CK6" s="56">
        <v>1</v>
      </c>
      <c r="CL6" s="56">
        <v>1</v>
      </c>
      <c r="CM6" s="56">
        <v>3</v>
      </c>
      <c r="CN6" s="56">
        <v>3</v>
      </c>
      <c r="CO6" s="65">
        <v>0</v>
      </c>
      <c r="CP6" s="56">
        <v>0</v>
      </c>
      <c r="CQ6" s="56">
        <v>4</v>
      </c>
      <c r="CR6" s="56">
        <v>6</v>
      </c>
      <c r="CS6" s="56">
        <v>9</v>
      </c>
      <c r="CT6" s="56">
        <v>5</v>
      </c>
      <c r="CU6" s="59">
        <v>4</v>
      </c>
      <c r="CV6" s="56">
        <v>0</v>
      </c>
      <c r="CW6" s="56">
        <v>0</v>
      </c>
      <c r="CX6" s="56">
        <v>6</v>
      </c>
      <c r="CY6" s="56">
        <v>6</v>
      </c>
      <c r="CZ6" s="56">
        <v>6</v>
      </c>
      <c r="DA6" s="56">
        <v>5</v>
      </c>
      <c r="DB6" s="56">
        <v>10</v>
      </c>
      <c r="DC6" s="56">
        <v>6</v>
      </c>
      <c r="DD6" s="56">
        <v>6</v>
      </c>
      <c r="DE6" s="56">
        <v>4</v>
      </c>
      <c r="DF6" s="56">
        <v>6</v>
      </c>
      <c r="DG6" s="56">
        <v>8</v>
      </c>
      <c r="DH6" s="56">
        <v>6</v>
      </c>
      <c r="DI6" s="56">
        <v>0</v>
      </c>
      <c r="DJ6" s="56">
        <v>0</v>
      </c>
      <c r="DK6" s="56">
        <v>0</v>
      </c>
      <c r="DL6" s="56">
        <v>2</v>
      </c>
      <c r="DM6" s="56">
        <v>4</v>
      </c>
      <c r="DN6" s="56">
        <v>1</v>
      </c>
      <c r="DO6" s="56">
        <v>1</v>
      </c>
      <c r="DP6" s="56">
        <v>2</v>
      </c>
      <c r="DQ6" s="56">
        <v>0</v>
      </c>
      <c r="DR6" s="56">
        <v>0</v>
      </c>
      <c r="DS6" s="56">
        <v>2</v>
      </c>
      <c r="DT6" s="56">
        <v>0</v>
      </c>
      <c r="DU6" s="56">
        <v>1</v>
      </c>
      <c r="DV6" s="56">
        <v>1</v>
      </c>
      <c r="DW6" s="56">
        <v>0</v>
      </c>
      <c r="DX6" s="56">
        <v>0</v>
      </c>
      <c r="DY6" s="56">
        <v>0</v>
      </c>
      <c r="DZ6" s="56">
        <v>2</v>
      </c>
      <c r="EA6" s="56">
        <v>1</v>
      </c>
      <c r="EB6" s="56">
        <v>0</v>
      </c>
      <c r="EC6" s="56">
        <v>1</v>
      </c>
      <c r="ED6" s="56">
        <v>0</v>
      </c>
      <c r="EE6" s="56">
        <v>0</v>
      </c>
      <c r="EF6" s="56">
        <v>0</v>
      </c>
      <c r="EG6" s="56">
        <v>0</v>
      </c>
      <c r="EH6" s="56">
        <v>1</v>
      </c>
      <c r="EI6" s="56">
        <v>0</v>
      </c>
      <c r="EJ6" s="56">
        <v>0</v>
      </c>
      <c r="EK6" s="56">
        <v>0</v>
      </c>
      <c r="EL6" s="56">
        <v>0</v>
      </c>
      <c r="EM6" s="56">
        <v>0</v>
      </c>
      <c r="EN6" s="56">
        <v>2</v>
      </c>
      <c r="EO6" s="56">
        <v>0</v>
      </c>
      <c r="EP6" s="56">
        <v>3</v>
      </c>
      <c r="EQ6" s="56">
        <v>0</v>
      </c>
      <c r="ER6" s="56">
        <v>1</v>
      </c>
      <c r="ES6" s="56">
        <v>0</v>
      </c>
      <c r="ET6" s="56">
        <v>0</v>
      </c>
      <c r="EU6" s="56">
        <v>3</v>
      </c>
      <c r="EV6" s="65">
        <v>1</v>
      </c>
      <c r="EW6" s="65">
        <v>0</v>
      </c>
      <c r="EX6" s="65">
        <v>2</v>
      </c>
      <c r="EY6" s="65">
        <v>0</v>
      </c>
      <c r="EZ6" s="65">
        <v>0</v>
      </c>
      <c r="FA6" s="65">
        <v>0</v>
      </c>
      <c r="FB6" s="65">
        <v>2</v>
      </c>
      <c r="FC6" s="65">
        <v>1</v>
      </c>
      <c r="FD6" s="65">
        <v>0</v>
      </c>
      <c r="FE6" s="65">
        <v>0</v>
      </c>
      <c r="FF6" s="65">
        <v>0</v>
      </c>
      <c r="FG6" s="65">
        <v>0</v>
      </c>
      <c r="FH6" s="65">
        <v>0</v>
      </c>
      <c r="FI6" s="65">
        <v>0</v>
      </c>
      <c r="FJ6" s="65">
        <v>0</v>
      </c>
      <c r="FK6" s="65">
        <v>1</v>
      </c>
      <c r="FL6" s="65">
        <v>2</v>
      </c>
      <c r="FM6" s="65">
        <v>1</v>
      </c>
      <c r="FN6" s="65">
        <v>0</v>
      </c>
      <c r="FO6" s="65">
        <v>0</v>
      </c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56"/>
    </row>
    <row r="7" spans="1:182">
      <c r="A7" s="35" t="s">
        <v>4</v>
      </c>
      <c r="B7" s="18"/>
      <c r="C7" s="18"/>
      <c r="D7" s="19"/>
      <c r="E7" s="19"/>
      <c r="F7" s="19"/>
      <c r="G7" s="19"/>
      <c r="H7" s="19"/>
      <c r="I7" s="18"/>
      <c r="J7" s="18"/>
      <c r="K7" s="19"/>
      <c r="L7" s="19"/>
      <c r="M7" s="20"/>
      <c r="N7" s="20"/>
      <c r="O7" s="20"/>
      <c r="P7" s="31"/>
      <c r="Q7" s="32"/>
      <c r="R7" s="23"/>
      <c r="S7" s="23"/>
      <c r="T7" s="23"/>
      <c r="U7" s="33"/>
      <c r="V7" s="20"/>
      <c r="W7" s="32"/>
      <c r="X7" s="32"/>
      <c r="Y7" s="20"/>
      <c r="Z7" s="33"/>
      <c r="AA7" s="20"/>
      <c r="AB7" s="20"/>
      <c r="AC7" s="20"/>
      <c r="AD7" s="31"/>
      <c r="AE7" s="32"/>
      <c r="AF7" s="34"/>
      <c r="AG7" s="27"/>
      <c r="AH7" s="27"/>
      <c r="AI7" s="27"/>
      <c r="AJ7" s="28"/>
      <c r="AK7" s="27"/>
      <c r="AL7" s="29"/>
      <c r="AM7" s="30"/>
      <c r="AN7" s="30"/>
      <c r="AO7" s="30"/>
      <c r="AP7" s="30"/>
      <c r="AQ7" s="30"/>
      <c r="AR7" s="30"/>
      <c r="AS7" s="30"/>
      <c r="AT7" s="30"/>
      <c r="AU7" s="30"/>
      <c r="AV7" s="29"/>
      <c r="AW7" s="30"/>
      <c r="AX7" s="56"/>
      <c r="AY7" s="56"/>
      <c r="AZ7" s="59"/>
      <c r="BA7" s="56"/>
      <c r="BB7" s="30"/>
      <c r="BC7" s="29"/>
      <c r="BD7" s="58"/>
      <c r="BE7" s="65"/>
      <c r="BF7" s="56"/>
      <c r="BG7" s="56"/>
      <c r="BH7" s="65"/>
      <c r="BI7" s="65"/>
      <c r="BJ7" s="65"/>
      <c r="BK7" s="34"/>
      <c r="BL7" s="56"/>
      <c r="BM7" s="56"/>
      <c r="BN7" s="56"/>
      <c r="BO7" s="56"/>
      <c r="BP7" s="56"/>
      <c r="BQ7" s="56"/>
      <c r="BR7" s="56"/>
      <c r="BS7" s="56"/>
      <c r="BT7" s="56"/>
      <c r="BU7" s="59"/>
      <c r="BV7" s="56"/>
      <c r="BW7" s="56"/>
      <c r="BX7" s="56"/>
      <c r="BY7" s="56"/>
      <c r="BZ7" s="56"/>
      <c r="CA7" s="56"/>
      <c r="CB7" s="59"/>
      <c r="CC7" s="56"/>
      <c r="CD7" s="56"/>
      <c r="CE7" s="56"/>
      <c r="CF7" s="56"/>
      <c r="CG7" s="59"/>
      <c r="CH7" s="90"/>
      <c r="CI7" s="90"/>
      <c r="CJ7" s="59"/>
      <c r="CK7" s="56"/>
      <c r="CL7" s="56"/>
      <c r="CM7" s="56"/>
      <c r="CN7" s="56"/>
      <c r="CO7" s="65"/>
      <c r="CP7" s="56"/>
      <c r="CQ7" s="56"/>
      <c r="CR7" s="56"/>
      <c r="CS7" s="56"/>
      <c r="CT7" s="56"/>
      <c r="CU7" s="59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>
        <v>0</v>
      </c>
      <c r="DQ7" s="56">
        <v>0</v>
      </c>
      <c r="DR7" s="56">
        <v>0</v>
      </c>
      <c r="DS7" s="56">
        <v>0</v>
      </c>
      <c r="DT7" s="56">
        <v>0</v>
      </c>
      <c r="DU7" s="56">
        <v>0</v>
      </c>
      <c r="DV7" s="56">
        <v>0</v>
      </c>
      <c r="DW7" s="56">
        <v>0</v>
      </c>
      <c r="DX7" s="56">
        <v>0</v>
      </c>
      <c r="DY7" s="56">
        <v>0</v>
      </c>
      <c r="DZ7" s="56">
        <v>5</v>
      </c>
      <c r="EA7" s="56">
        <v>3</v>
      </c>
      <c r="EB7" s="56">
        <v>1</v>
      </c>
      <c r="EC7" s="56">
        <v>1</v>
      </c>
      <c r="ED7" s="56">
        <v>1</v>
      </c>
      <c r="EE7" s="56">
        <v>0</v>
      </c>
      <c r="EF7" s="56">
        <v>0</v>
      </c>
      <c r="EG7" s="56">
        <v>9</v>
      </c>
      <c r="EH7" s="56">
        <v>2</v>
      </c>
      <c r="EI7" s="56">
        <v>0</v>
      </c>
      <c r="EJ7" s="56">
        <v>0</v>
      </c>
      <c r="EK7" s="56">
        <v>2</v>
      </c>
      <c r="EL7" s="56">
        <v>0</v>
      </c>
      <c r="EM7" s="56">
        <v>0</v>
      </c>
      <c r="EN7" s="56">
        <v>2</v>
      </c>
      <c r="EO7" s="56">
        <v>0</v>
      </c>
      <c r="EP7" s="56">
        <v>0</v>
      </c>
      <c r="EQ7" s="56">
        <v>0</v>
      </c>
      <c r="ER7" s="56">
        <v>0</v>
      </c>
      <c r="ES7" s="56">
        <v>0</v>
      </c>
      <c r="ET7" s="56">
        <v>0</v>
      </c>
      <c r="EU7" s="56">
        <v>0</v>
      </c>
      <c r="EV7" s="65">
        <v>0</v>
      </c>
      <c r="EW7" s="65">
        <v>0</v>
      </c>
      <c r="EX7" s="65">
        <v>0</v>
      </c>
      <c r="EY7" s="65">
        <v>0</v>
      </c>
      <c r="EZ7" s="65">
        <v>0</v>
      </c>
      <c r="FA7" s="65">
        <v>0</v>
      </c>
      <c r="FB7" s="65">
        <v>0</v>
      </c>
      <c r="FC7" s="65">
        <v>0</v>
      </c>
      <c r="FD7" s="65">
        <v>0</v>
      </c>
      <c r="FE7" s="65">
        <v>0</v>
      </c>
      <c r="FF7" s="65">
        <v>1</v>
      </c>
      <c r="FG7" s="65">
        <v>0</v>
      </c>
      <c r="FH7" s="65">
        <v>0</v>
      </c>
      <c r="FI7" s="65">
        <v>0</v>
      </c>
      <c r="FJ7" s="65">
        <v>0</v>
      </c>
      <c r="FK7" s="65">
        <v>0</v>
      </c>
      <c r="FL7" s="65">
        <v>0</v>
      </c>
      <c r="FM7" s="65">
        <v>0</v>
      </c>
      <c r="FN7" s="65">
        <v>0</v>
      </c>
      <c r="FO7" s="65">
        <v>0</v>
      </c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56"/>
    </row>
    <row r="8" spans="1:182">
      <c r="A8" s="35" t="s">
        <v>1</v>
      </c>
      <c r="B8" s="18">
        <v>4</v>
      </c>
      <c r="C8" s="18">
        <v>0</v>
      </c>
      <c r="D8" s="19">
        <v>3</v>
      </c>
      <c r="E8" s="19">
        <v>3</v>
      </c>
      <c r="F8" s="19">
        <v>3</v>
      </c>
      <c r="G8" s="19">
        <v>3</v>
      </c>
      <c r="H8" s="19">
        <v>0</v>
      </c>
      <c r="I8" s="18">
        <v>0</v>
      </c>
      <c r="J8" s="18">
        <v>0</v>
      </c>
      <c r="K8" s="19">
        <v>0</v>
      </c>
      <c r="L8" s="19">
        <v>2</v>
      </c>
      <c r="M8" s="20">
        <v>3</v>
      </c>
      <c r="N8" s="20">
        <v>3</v>
      </c>
      <c r="O8" s="20">
        <v>2</v>
      </c>
      <c r="P8" s="31">
        <v>3</v>
      </c>
      <c r="Q8" s="32">
        <v>0</v>
      </c>
      <c r="R8" s="23">
        <v>3</v>
      </c>
      <c r="S8" s="23">
        <v>2</v>
      </c>
      <c r="T8" s="23">
        <v>2</v>
      </c>
      <c r="U8" s="33">
        <v>2</v>
      </c>
      <c r="V8" s="20">
        <v>2</v>
      </c>
      <c r="W8" s="32">
        <v>0</v>
      </c>
      <c r="X8" s="32">
        <v>0</v>
      </c>
      <c r="Y8" s="20">
        <v>2</v>
      </c>
      <c r="Z8" s="33">
        <v>3</v>
      </c>
      <c r="AA8" s="20">
        <v>4</v>
      </c>
      <c r="AB8" s="20">
        <v>4</v>
      </c>
      <c r="AC8" s="20">
        <v>6</v>
      </c>
      <c r="AD8" s="31">
        <v>0</v>
      </c>
      <c r="AE8" s="32">
        <v>0</v>
      </c>
      <c r="AF8" s="34">
        <v>1</v>
      </c>
      <c r="AG8" s="27">
        <v>4</v>
      </c>
      <c r="AH8" s="27">
        <v>2</v>
      </c>
      <c r="AI8" s="27">
        <v>2</v>
      </c>
      <c r="AJ8" s="28">
        <v>2</v>
      </c>
      <c r="AK8" s="27">
        <v>2</v>
      </c>
      <c r="AL8" s="29">
        <v>2</v>
      </c>
      <c r="AM8" s="30">
        <v>2</v>
      </c>
      <c r="AN8" s="30">
        <v>3</v>
      </c>
      <c r="AO8" s="30">
        <v>3</v>
      </c>
      <c r="AP8" s="30">
        <v>4</v>
      </c>
      <c r="AQ8" s="30">
        <v>4</v>
      </c>
      <c r="AR8" s="30">
        <v>5</v>
      </c>
      <c r="AS8" s="30">
        <v>5</v>
      </c>
      <c r="AT8" s="30">
        <v>4</v>
      </c>
      <c r="AU8" s="30">
        <v>3</v>
      </c>
      <c r="AV8" s="29">
        <v>5</v>
      </c>
      <c r="AW8" s="30">
        <v>4</v>
      </c>
      <c r="AX8" s="56">
        <v>4</v>
      </c>
      <c r="AY8" s="56">
        <v>3</v>
      </c>
      <c r="AZ8" s="59">
        <v>2</v>
      </c>
      <c r="BA8" s="56">
        <v>4</v>
      </c>
      <c r="BB8" s="30">
        <v>4</v>
      </c>
      <c r="BC8" s="29">
        <v>3</v>
      </c>
      <c r="BD8" s="58">
        <v>4</v>
      </c>
      <c r="BE8" s="65">
        <v>6</v>
      </c>
      <c r="BF8" s="56">
        <v>2</v>
      </c>
      <c r="BG8" s="56">
        <v>2</v>
      </c>
      <c r="BH8" s="65">
        <v>4</v>
      </c>
      <c r="BI8" s="65">
        <v>4</v>
      </c>
      <c r="BJ8" s="65">
        <v>3</v>
      </c>
      <c r="BK8" s="34">
        <v>3</v>
      </c>
      <c r="BL8" s="56">
        <v>5</v>
      </c>
      <c r="BM8" s="56">
        <v>0</v>
      </c>
      <c r="BN8" s="56">
        <v>0</v>
      </c>
      <c r="BO8" s="56">
        <v>4</v>
      </c>
      <c r="BP8" s="56">
        <v>3</v>
      </c>
      <c r="BQ8" s="56">
        <v>3</v>
      </c>
      <c r="BR8" s="56">
        <v>3</v>
      </c>
      <c r="BS8" s="56">
        <v>3</v>
      </c>
      <c r="BT8" s="56">
        <v>0</v>
      </c>
      <c r="BU8" s="59">
        <v>0</v>
      </c>
      <c r="BV8" s="56">
        <v>4</v>
      </c>
      <c r="BW8" s="56">
        <v>3</v>
      </c>
      <c r="BX8" s="56">
        <v>3</v>
      </c>
      <c r="BY8" s="56">
        <v>4</v>
      </c>
      <c r="BZ8" s="56">
        <v>4</v>
      </c>
      <c r="CA8" s="56">
        <v>0</v>
      </c>
      <c r="CB8" s="59">
        <v>1</v>
      </c>
      <c r="CC8" s="56">
        <v>6</v>
      </c>
      <c r="CD8" s="56">
        <v>4</v>
      </c>
      <c r="CE8" s="56">
        <v>3</v>
      </c>
      <c r="CF8" s="56">
        <v>2</v>
      </c>
      <c r="CG8" s="59">
        <v>4</v>
      </c>
      <c r="CH8" s="90">
        <v>0</v>
      </c>
      <c r="CI8" s="90">
        <v>0</v>
      </c>
      <c r="CJ8" s="59">
        <v>2</v>
      </c>
      <c r="CK8" s="56">
        <v>4</v>
      </c>
      <c r="CL8" s="56">
        <v>3</v>
      </c>
      <c r="CM8" s="56">
        <v>2</v>
      </c>
      <c r="CN8" s="56">
        <v>3</v>
      </c>
      <c r="CO8" s="65">
        <v>0</v>
      </c>
      <c r="CP8" s="56">
        <v>0</v>
      </c>
      <c r="CQ8" s="56">
        <v>2</v>
      </c>
      <c r="CR8" s="56">
        <v>4</v>
      </c>
      <c r="CS8" s="56">
        <v>4</v>
      </c>
      <c r="CT8" s="56">
        <v>2</v>
      </c>
      <c r="CU8" s="59">
        <v>2</v>
      </c>
      <c r="CV8" s="56">
        <v>0</v>
      </c>
      <c r="CW8" s="56">
        <v>0</v>
      </c>
      <c r="CX8" s="56">
        <v>2</v>
      </c>
      <c r="CY8" s="56">
        <v>0</v>
      </c>
      <c r="CZ8" s="56">
        <v>1</v>
      </c>
      <c r="DA8" s="56">
        <v>0</v>
      </c>
      <c r="DB8" s="56">
        <v>1</v>
      </c>
      <c r="DC8" s="56">
        <v>1</v>
      </c>
      <c r="DD8" s="56">
        <v>1</v>
      </c>
      <c r="DE8" s="56">
        <v>1</v>
      </c>
      <c r="DF8" s="56">
        <v>2</v>
      </c>
      <c r="DG8" s="56">
        <v>1</v>
      </c>
      <c r="DH8" s="56">
        <v>2</v>
      </c>
      <c r="DI8" s="56">
        <v>2</v>
      </c>
      <c r="DJ8" s="56">
        <v>0</v>
      </c>
      <c r="DK8" s="56">
        <v>0</v>
      </c>
      <c r="DL8" s="56">
        <v>0</v>
      </c>
      <c r="DM8" s="56">
        <v>0</v>
      </c>
      <c r="DN8" s="56">
        <v>1</v>
      </c>
      <c r="DO8" s="56">
        <v>1</v>
      </c>
      <c r="DP8" s="56">
        <v>1</v>
      </c>
      <c r="DQ8" s="56">
        <v>1</v>
      </c>
      <c r="DR8" s="56">
        <v>0</v>
      </c>
      <c r="DS8" s="56">
        <v>1</v>
      </c>
      <c r="DT8" s="56">
        <v>1</v>
      </c>
      <c r="DU8" s="56">
        <v>1</v>
      </c>
      <c r="DV8" s="56">
        <v>1</v>
      </c>
      <c r="DW8" s="56">
        <v>0</v>
      </c>
      <c r="DX8" s="56">
        <v>0</v>
      </c>
      <c r="DY8" s="56">
        <v>0</v>
      </c>
      <c r="DZ8" s="56">
        <v>1</v>
      </c>
      <c r="EA8" s="56">
        <v>1</v>
      </c>
      <c r="EB8" s="56">
        <v>2</v>
      </c>
      <c r="EC8" s="56">
        <v>1</v>
      </c>
      <c r="ED8" s="56">
        <v>2</v>
      </c>
      <c r="EE8" s="56">
        <v>0</v>
      </c>
      <c r="EF8" s="56">
        <v>0</v>
      </c>
      <c r="EG8" s="56">
        <v>4</v>
      </c>
      <c r="EH8" s="56">
        <v>4</v>
      </c>
      <c r="EI8" s="56">
        <v>1</v>
      </c>
      <c r="EJ8" s="56">
        <v>0</v>
      </c>
      <c r="EK8" s="56">
        <v>1</v>
      </c>
      <c r="EL8" s="56">
        <v>0</v>
      </c>
      <c r="EM8" s="56">
        <v>0</v>
      </c>
      <c r="EN8" s="56">
        <v>1</v>
      </c>
      <c r="EO8" s="56">
        <v>0</v>
      </c>
      <c r="EP8" s="56">
        <v>0</v>
      </c>
      <c r="EQ8" s="56">
        <v>2</v>
      </c>
      <c r="ER8" s="56">
        <v>2</v>
      </c>
      <c r="ES8" s="56">
        <v>0</v>
      </c>
      <c r="ET8" s="56">
        <v>0</v>
      </c>
      <c r="EU8" s="56">
        <v>1</v>
      </c>
      <c r="EV8" s="65">
        <v>3</v>
      </c>
      <c r="EW8" s="65">
        <v>3</v>
      </c>
      <c r="EX8" s="65">
        <v>3</v>
      </c>
      <c r="EY8" s="65">
        <v>0</v>
      </c>
      <c r="EZ8" s="65">
        <v>0</v>
      </c>
      <c r="FA8" s="65">
        <v>0</v>
      </c>
      <c r="FB8" s="65">
        <v>0</v>
      </c>
      <c r="FC8" s="65">
        <v>0</v>
      </c>
      <c r="FD8" s="65">
        <v>3</v>
      </c>
      <c r="FE8" s="65">
        <v>2</v>
      </c>
      <c r="FF8" s="65">
        <v>4</v>
      </c>
      <c r="FG8" s="65">
        <v>0</v>
      </c>
      <c r="FH8" s="65">
        <v>0</v>
      </c>
      <c r="FI8" s="65">
        <v>4</v>
      </c>
      <c r="FJ8" s="65">
        <v>2</v>
      </c>
      <c r="FK8" s="65">
        <v>2</v>
      </c>
      <c r="FL8" s="65">
        <v>1</v>
      </c>
      <c r="FM8" s="65">
        <v>6</v>
      </c>
      <c r="FN8" s="65">
        <v>0</v>
      </c>
      <c r="FO8" s="65">
        <v>0</v>
      </c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56"/>
    </row>
    <row r="9" spans="1:182">
      <c r="A9" s="35" t="s">
        <v>32</v>
      </c>
      <c r="B9" s="18"/>
      <c r="C9" s="18"/>
      <c r="D9" s="19"/>
      <c r="E9" s="19"/>
      <c r="F9" s="19"/>
      <c r="G9" s="19"/>
      <c r="H9" s="19"/>
      <c r="I9" s="18"/>
      <c r="J9" s="18"/>
      <c r="K9" s="19"/>
      <c r="L9" s="19"/>
      <c r="M9" s="20"/>
      <c r="N9" s="20"/>
      <c r="O9" s="20"/>
      <c r="P9" s="31"/>
      <c r="Q9" s="32"/>
      <c r="R9" s="23"/>
      <c r="S9" s="23"/>
      <c r="T9" s="23"/>
      <c r="U9" s="33"/>
      <c r="V9" s="20"/>
      <c r="W9" s="32"/>
      <c r="X9" s="32"/>
      <c r="Y9" s="20"/>
      <c r="Z9" s="33"/>
      <c r="AA9" s="20"/>
      <c r="AB9" s="20"/>
      <c r="AC9" s="20"/>
      <c r="AD9" s="31"/>
      <c r="AE9" s="32"/>
      <c r="AF9" s="34">
        <v>0</v>
      </c>
      <c r="AG9" s="27">
        <v>0</v>
      </c>
      <c r="AH9" s="27">
        <v>0</v>
      </c>
      <c r="AI9" s="27"/>
      <c r="AJ9" s="28"/>
      <c r="AK9" s="27">
        <v>0</v>
      </c>
      <c r="AL9" s="29">
        <v>0</v>
      </c>
      <c r="AM9" s="30">
        <v>0</v>
      </c>
      <c r="AN9" s="30"/>
      <c r="AO9" s="30"/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29">
        <v>1</v>
      </c>
      <c r="AW9" s="30">
        <v>1</v>
      </c>
      <c r="AX9" s="56">
        <v>0</v>
      </c>
      <c r="AY9" s="56">
        <v>0</v>
      </c>
      <c r="AZ9" s="59">
        <v>0</v>
      </c>
      <c r="BA9" s="56">
        <v>0</v>
      </c>
      <c r="BB9" s="30">
        <v>0</v>
      </c>
      <c r="BC9" s="29">
        <v>0</v>
      </c>
      <c r="BD9" s="58">
        <v>0</v>
      </c>
      <c r="BE9" s="65">
        <v>0</v>
      </c>
      <c r="BF9" s="56">
        <v>0</v>
      </c>
      <c r="BG9" s="56">
        <v>0</v>
      </c>
      <c r="BH9" s="65">
        <v>0</v>
      </c>
      <c r="BI9" s="65">
        <v>0</v>
      </c>
      <c r="BJ9" s="65">
        <v>0</v>
      </c>
      <c r="BK9" s="34">
        <v>0</v>
      </c>
      <c r="BL9" s="56">
        <v>0</v>
      </c>
      <c r="BM9" s="56">
        <v>0</v>
      </c>
      <c r="BN9" s="56">
        <v>0</v>
      </c>
      <c r="BO9" s="56">
        <v>0</v>
      </c>
      <c r="BP9" s="56">
        <v>0</v>
      </c>
      <c r="BQ9" s="56">
        <v>0</v>
      </c>
      <c r="BR9" s="56">
        <v>0</v>
      </c>
      <c r="BS9" s="56">
        <v>0</v>
      </c>
      <c r="BT9" s="56">
        <v>0</v>
      </c>
      <c r="BU9" s="59">
        <v>0</v>
      </c>
      <c r="BV9" s="56">
        <v>0</v>
      </c>
      <c r="BW9" s="56">
        <v>0</v>
      </c>
      <c r="BX9" s="56">
        <v>0</v>
      </c>
      <c r="BY9" s="56">
        <v>0</v>
      </c>
      <c r="BZ9" s="56">
        <v>0</v>
      </c>
      <c r="CA9" s="56">
        <v>0</v>
      </c>
      <c r="CB9" s="59">
        <v>0</v>
      </c>
      <c r="CC9" s="56">
        <v>2</v>
      </c>
      <c r="CD9" s="56">
        <v>0</v>
      </c>
      <c r="CE9" s="56">
        <v>0</v>
      </c>
      <c r="CF9" s="56">
        <v>1</v>
      </c>
      <c r="CG9" s="59">
        <v>0</v>
      </c>
      <c r="CH9" s="90">
        <v>0</v>
      </c>
      <c r="CI9" s="90">
        <v>0</v>
      </c>
      <c r="CJ9" s="59">
        <v>1</v>
      </c>
      <c r="CK9" s="56">
        <v>1</v>
      </c>
      <c r="CL9" s="56">
        <v>1</v>
      </c>
      <c r="CM9" s="56">
        <v>1</v>
      </c>
      <c r="CN9" s="56">
        <v>0</v>
      </c>
      <c r="CO9" s="65">
        <v>0</v>
      </c>
      <c r="CP9" s="56">
        <v>0</v>
      </c>
      <c r="CQ9" s="56">
        <v>0</v>
      </c>
      <c r="CR9" s="56">
        <v>3</v>
      </c>
      <c r="CS9" s="56">
        <v>3</v>
      </c>
      <c r="CT9" s="99">
        <v>3</v>
      </c>
      <c r="CU9" s="59">
        <v>3</v>
      </c>
      <c r="CV9" s="56">
        <v>0</v>
      </c>
      <c r="CW9" s="56">
        <v>0</v>
      </c>
      <c r="CX9" s="56">
        <v>5</v>
      </c>
      <c r="CY9" s="56">
        <v>3</v>
      </c>
      <c r="CZ9" s="56">
        <v>4</v>
      </c>
      <c r="DA9" s="56">
        <v>4</v>
      </c>
      <c r="DB9" s="56">
        <v>4</v>
      </c>
      <c r="DC9" s="56">
        <v>0</v>
      </c>
      <c r="DD9" s="56">
        <v>0</v>
      </c>
      <c r="DE9" s="56">
        <v>2</v>
      </c>
      <c r="DF9" s="56">
        <v>2</v>
      </c>
      <c r="DG9" s="56">
        <v>0</v>
      </c>
      <c r="DH9" s="56">
        <v>0</v>
      </c>
      <c r="DI9" s="56">
        <v>0</v>
      </c>
      <c r="DJ9" s="56">
        <v>0</v>
      </c>
      <c r="DK9" s="56">
        <v>0</v>
      </c>
      <c r="DL9" s="56">
        <v>0</v>
      </c>
      <c r="DM9" s="56">
        <v>10</v>
      </c>
      <c r="DN9" s="56">
        <v>9</v>
      </c>
      <c r="DO9" s="56">
        <v>9</v>
      </c>
      <c r="DP9" s="56">
        <v>8</v>
      </c>
      <c r="DQ9" s="56">
        <v>0</v>
      </c>
      <c r="DR9" s="56">
        <v>0</v>
      </c>
      <c r="DS9" s="56">
        <v>5</v>
      </c>
      <c r="DT9" s="56">
        <v>5</v>
      </c>
      <c r="DU9" s="56">
        <v>5</v>
      </c>
      <c r="DV9" s="56">
        <v>5</v>
      </c>
      <c r="DW9" s="56">
        <v>5</v>
      </c>
      <c r="DX9" s="56">
        <v>9</v>
      </c>
      <c r="DY9" s="56">
        <v>9</v>
      </c>
      <c r="DZ9" s="56">
        <v>9</v>
      </c>
      <c r="EA9" s="56">
        <v>9</v>
      </c>
      <c r="EB9" s="56">
        <v>10</v>
      </c>
      <c r="EC9" s="56">
        <v>9</v>
      </c>
      <c r="ED9" s="56">
        <v>9</v>
      </c>
      <c r="EE9" s="56">
        <v>2</v>
      </c>
      <c r="EF9" s="56">
        <v>0</v>
      </c>
      <c r="EG9" s="56">
        <v>2</v>
      </c>
      <c r="EH9" s="56">
        <v>2</v>
      </c>
      <c r="EI9" s="56">
        <v>2</v>
      </c>
      <c r="EJ9" s="56">
        <v>2</v>
      </c>
      <c r="EK9" s="56">
        <v>0</v>
      </c>
      <c r="EL9" s="56">
        <v>1</v>
      </c>
      <c r="EM9" s="56">
        <v>0</v>
      </c>
      <c r="EN9" s="56">
        <v>1</v>
      </c>
      <c r="EO9" s="56">
        <v>1</v>
      </c>
      <c r="EP9" s="56">
        <v>1</v>
      </c>
      <c r="EQ9" s="56">
        <v>0</v>
      </c>
      <c r="ER9" s="56">
        <v>0</v>
      </c>
      <c r="ES9" s="56">
        <v>0</v>
      </c>
      <c r="ET9" s="56">
        <v>0</v>
      </c>
      <c r="EU9" s="56">
        <v>0</v>
      </c>
      <c r="EV9" s="65">
        <v>0</v>
      </c>
      <c r="EW9" s="65">
        <v>0</v>
      </c>
      <c r="EX9" s="65">
        <v>0</v>
      </c>
      <c r="EY9" s="65">
        <v>0</v>
      </c>
      <c r="EZ9" s="65">
        <v>0</v>
      </c>
      <c r="FA9" s="65">
        <v>0</v>
      </c>
      <c r="FB9" s="65">
        <v>0</v>
      </c>
      <c r="FC9" s="65">
        <v>0</v>
      </c>
      <c r="FD9" s="65">
        <v>1</v>
      </c>
      <c r="FE9" s="65">
        <v>1</v>
      </c>
      <c r="FF9" s="65">
        <v>0</v>
      </c>
      <c r="FG9" s="65">
        <v>0</v>
      </c>
      <c r="FH9" s="65">
        <v>0</v>
      </c>
      <c r="FI9" s="65">
        <v>3</v>
      </c>
      <c r="FJ9" s="65">
        <v>3</v>
      </c>
      <c r="FK9" s="65">
        <v>3</v>
      </c>
      <c r="FL9" s="65">
        <v>3</v>
      </c>
      <c r="FM9" s="65">
        <v>3</v>
      </c>
      <c r="FN9" s="65">
        <v>0</v>
      </c>
      <c r="FO9" s="65">
        <v>0</v>
      </c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56"/>
    </row>
    <row r="10" spans="1:182">
      <c r="A10" s="35" t="s">
        <v>0</v>
      </c>
      <c r="B10" s="18">
        <v>2</v>
      </c>
      <c r="C10" s="18">
        <v>0</v>
      </c>
      <c r="D10" s="19">
        <v>1</v>
      </c>
      <c r="E10" s="19">
        <v>1</v>
      </c>
      <c r="F10" s="19">
        <v>1</v>
      </c>
      <c r="G10" s="19">
        <v>0</v>
      </c>
      <c r="H10" s="19">
        <v>0</v>
      </c>
      <c r="I10" s="18">
        <v>0</v>
      </c>
      <c r="J10" s="18">
        <v>0</v>
      </c>
      <c r="K10" s="19">
        <v>0</v>
      </c>
      <c r="L10" s="19">
        <v>0</v>
      </c>
      <c r="M10" s="20">
        <v>1</v>
      </c>
      <c r="N10" s="20">
        <v>1</v>
      </c>
      <c r="O10" s="20">
        <v>0</v>
      </c>
      <c r="P10" s="31">
        <v>0</v>
      </c>
      <c r="Q10" s="32">
        <v>0</v>
      </c>
      <c r="R10" s="23">
        <v>0</v>
      </c>
      <c r="S10" s="23">
        <v>0</v>
      </c>
      <c r="T10" s="23">
        <v>1</v>
      </c>
      <c r="U10" s="33">
        <v>0</v>
      </c>
      <c r="V10" s="20">
        <v>0</v>
      </c>
      <c r="W10" s="32">
        <v>0</v>
      </c>
      <c r="X10" s="32">
        <v>0</v>
      </c>
      <c r="Y10" s="20">
        <v>2</v>
      </c>
      <c r="Z10" s="33">
        <v>2</v>
      </c>
      <c r="AA10" s="20">
        <v>0</v>
      </c>
      <c r="AB10" s="20">
        <v>0</v>
      </c>
      <c r="AC10" s="20">
        <v>0</v>
      </c>
      <c r="AD10" s="31">
        <v>0</v>
      </c>
      <c r="AE10" s="32">
        <v>0</v>
      </c>
      <c r="AF10" s="34">
        <v>0</v>
      </c>
      <c r="AG10" s="27">
        <v>1</v>
      </c>
      <c r="AH10" s="27">
        <v>3</v>
      </c>
      <c r="AI10" s="27">
        <v>5</v>
      </c>
      <c r="AJ10" s="28">
        <v>3</v>
      </c>
      <c r="AK10" s="27">
        <v>3</v>
      </c>
      <c r="AL10" s="29">
        <v>3</v>
      </c>
      <c r="AM10" s="30">
        <v>3</v>
      </c>
      <c r="AN10" s="30">
        <v>1</v>
      </c>
      <c r="AO10" s="30">
        <v>3</v>
      </c>
      <c r="AP10" s="30">
        <v>3</v>
      </c>
      <c r="AQ10" s="30">
        <v>2</v>
      </c>
      <c r="AR10" s="30">
        <v>1</v>
      </c>
      <c r="AS10" s="30">
        <v>1</v>
      </c>
      <c r="AT10" s="30">
        <v>1</v>
      </c>
      <c r="AU10" s="30">
        <v>1</v>
      </c>
      <c r="AV10" s="29">
        <v>1</v>
      </c>
      <c r="AW10" s="30">
        <v>1</v>
      </c>
      <c r="AX10" s="56">
        <v>2</v>
      </c>
      <c r="AY10" s="56">
        <v>2</v>
      </c>
      <c r="AZ10" s="59">
        <v>3</v>
      </c>
      <c r="BA10" s="56">
        <v>1</v>
      </c>
      <c r="BB10" s="30">
        <v>1</v>
      </c>
      <c r="BC10" s="29">
        <v>2</v>
      </c>
      <c r="BD10" s="58">
        <v>2</v>
      </c>
      <c r="BE10" s="65">
        <v>0</v>
      </c>
      <c r="BF10" s="56">
        <v>0</v>
      </c>
      <c r="BG10" s="56">
        <v>0</v>
      </c>
      <c r="BH10" s="65">
        <v>0</v>
      </c>
      <c r="BI10" s="65">
        <v>0</v>
      </c>
      <c r="BJ10" s="65">
        <v>0</v>
      </c>
      <c r="BK10" s="34">
        <v>0</v>
      </c>
      <c r="BL10" s="56">
        <v>0</v>
      </c>
      <c r="BM10" s="56">
        <v>0</v>
      </c>
      <c r="BN10" s="56">
        <v>0</v>
      </c>
      <c r="BO10" s="56">
        <v>0</v>
      </c>
      <c r="BP10" s="56">
        <v>0</v>
      </c>
      <c r="BQ10" s="56">
        <v>0</v>
      </c>
      <c r="BR10" s="56">
        <v>0</v>
      </c>
      <c r="BS10" s="56">
        <v>0</v>
      </c>
      <c r="BT10" s="56">
        <v>0</v>
      </c>
      <c r="BU10" s="59">
        <v>0</v>
      </c>
      <c r="BV10" s="56">
        <v>0</v>
      </c>
      <c r="BW10" s="56">
        <v>1</v>
      </c>
      <c r="BX10" s="56">
        <v>1</v>
      </c>
      <c r="BY10" s="56">
        <v>1</v>
      </c>
      <c r="BZ10" s="56">
        <v>0</v>
      </c>
      <c r="CA10" s="56">
        <v>0</v>
      </c>
      <c r="CB10" s="59">
        <v>0</v>
      </c>
      <c r="CC10" s="56">
        <v>0</v>
      </c>
      <c r="CD10" s="56">
        <v>0</v>
      </c>
      <c r="CE10" s="56">
        <v>0</v>
      </c>
      <c r="CF10" s="56">
        <v>0</v>
      </c>
      <c r="CG10" s="59">
        <v>0</v>
      </c>
      <c r="CH10" s="90">
        <v>0</v>
      </c>
      <c r="CI10" s="90">
        <v>0</v>
      </c>
      <c r="CJ10" s="59">
        <v>1</v>
      </c>
      <c r="CK10" s="56">
        <v>1</v>
      </c>
      <c r="CL10" s="56">
        <v>0</v>
      </c>
      <c r="CM10" s="56">
        <v>0</v>
      </c>
      <c r="CN10" s="56">
        <v>0</v>
      </c>
      <c r="CO10" s="65">
        <v>0</v>
      </c>
      <c r="CP10" s="56">
        <v>0</v>
      </c>
      <c r="CQ10" s="56">
        <v>0</v>
      </c>
      <c r="CR10" s="56">
        <v>0</v>
      </c>
      <c r="CS10" s="56">
        <v>0</v>
      </c>
      <c r="CT10" s="56">
        <v>0</v>
      </c>
      <c r="CU10" s="59">
        <v>0</v>
      </c>
      <c r="CV10" s="56">
        <v>0</v>
      </c>
      <c r="CW10" s="56">
        <v>0</v>
      </c>
      <c r="CX10" s="56">
        <v>2</v>
      </c>
      <c r="CY10" s="56">
        <v>2</v>
      </c>
      <c r="CZ10" s="56">
        <v>2</v>
      </c>
      <c r="DA10" s="56">
        <v>2</v>
      </c>
      <c r="DB10" s="56">
        <v>2</v>
      </c>
      <c r="DC10" s="56">
        <v>2</v>
      </c>
      <c r="DD10" s="56">
        <v>2</v>
      </c>
      <c r="DE10" s="56">
        <v>2</v>
      </c>
      <c r="DF10" s="56">
        <v>2</v>
      </c>
      <c r="DG10" s="56">
        <v>2</v>
      </c>
      <c r="DH10" s="56">
        <v>2</v>
      </c>
      <c r="DI10" s="56">
        <v>2</v>
      </c>
      <c r="DJ10" s="56">
        <v>2</v>
      </c>
      <c r="DK10" s="56">
        <v>2</v>
      </c>
      <c r="DL10" s="56">
        <v>2</v>
      </c>
      <c r="DM10" s="56">
        <v>2</v>
      </c>
      <c r="DN10" s="56">
        <v>1</v>
      </c>
      <c r="DO10" s="56">
        <v>1</v>
      </c>
      <c r="DP10" s="56">
        <v>1</v>
      </c>
      <c r="DQ10" s="56">
        <v>1</v>
      </c>
      <c r="DR10" s="56">
        <v>0</v>
      </c>
      <c r="DS10" s="56">
        <v>1</v>
      </c>
      <c r="DT10" s="56">
        <v>1</v>
      </c>
      <c r="DU10" s="56">
        <v>1</v>
      </c>
      <c r="DV10" s="56">
        <v>1</v>
      </c>
      <c r="DW10" s="56">
        <v>1</v>
      </c>
      <c r="DX10" s="56">
        <v>0</v>
      </c>
      <c r="DY10" s="56">
        <v>0</v>
      </c>
      <c r="DZ10" s="56">
        <v>1</v>
      </c>
      <c r="EA10" s="56">
        <v>1</v>
      </c>
      <c r="EB10" s="56">
        <v>1</v>
      </c>
      <c r="EC10" s="56">
        <v>1</v>
      </c>
      <c r="ED10" s="56">
        <v>1</v>
      </c>
      <c r="EE10" s="56">
        <v>1</v>
      </c>
      <c r="EF10" s="56">
        <v>0</v>
      </c>
      <c r="EG10" s="56">
        <v>1</v>
      </c>
      <c r="EH10" s="56">
        <v>1</v>
      </c>
      <c r="EI10" s="56">
        <v>2</v>
      </c>
      <c r="EJ10" s="56">
        <v>2</v>
      </c>
      <c r="EK10" s="57">
        <v>2</v>
      </c>
      <c r="EL10" s="56">
        <v>0</v>
      </c>
      <c r="EM10" s="56">
        <v>0</v>
      </c>
      <c r="EN10" s="56">
        <v>2</v>
      </c>
      <c r="EO10" s="56">
        <v>2</v>
      </c>
      <c r="EP10" s="56">
        <v>2</v>
      </c>
      <c r="EQ10" s="56">
        <v>2</v>
      </c>
      <c r="ER10" s="56">
        <v>2</v>
      </c>
      <c r="ES10" s="56">
        <v>0</v>
      </c>
      <c r="ET10" s="56">
        <v>0</v>
      </c>
      <c r="EU10" s="56">
        <v>2</v>
      </c>
      <c r="EV10" s="65">
        <v>2</v>
      </c>
      <c r="EW10" s="65">
        <v>2</v>
      </c>
      <c r="EX10" s="65">
        <v>2</v>
      </c>
      <c r="EY10" s="65">
        <v>2</v>
      </c>
      <c r="EZ10" s="65">
        <v>2</v>
      </c>
      <c r="FA10" s="65">
        <v>2</v>
      </c>
      <c r="FB10" s="65">
        <v>2</v>
      </c>
      <c r="FC10" s="65">
        <v>2</v>
      </c>
      <c r="FD10" s="65">
        <v>1</v>
      </c>
      <c r="FE10" s="65">
        <v>1</v>
      </c>
      <c r="FF10" s="65">
        <v>1</v>
      </c>
      <c r="FG10" s="65">
        <v>0</v>
      </c>
      <c r="FH10" s="65">
        <v>0</v>
      </c>
      <c r="FI10" s="65">
        <v>1</v>
      </c>
      <c r="FJ10" s="65">
        <v>1</v>
      </c>
      <c r="FK10" s="65">
        <v>1</v>
      </c>
      <c r="FL10" s="65">
        <v>1</v>
      </c>
      <c r="FM10" s="65">
        <v>1</v>
      </c>
      <c r="FN10" s="65">
        <v>0</v>
      </c>
      <c r="FO10" s="65">
        <v>0</v>
      </c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56"/>
    </row>
    <row r="11" spans="1:182">
      <c r="A11" s="35" t="s">
        <v>33</v>
      </c>
      <c r="B11" s="18">
        <v>0</v>
      </c>
      <c r="C11" s="18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8">
        <v>0</v>
      </c>
      <c r="J11" s="18">
        <v>0</v>
      </c>
      <c r="K11" s="19">
        <v>0</v>
      </c>
      <c r="L11" s="19">
        <v>0</v>
      </c>
      <c r="M11" s="20">
        <v>0</v>
      </c>
      <c r="N11" s="20">
        <v>0</v>
      </c>
      <c r="O11" s="20">
        <v>0</v>
      </c>
      <c r="P11" s="31">
        <v>2</v>
      </c>
      <c r="Q11" s="32">
        <v>0</v>
      </c>
      <c r="R11" s="23">
        <v>2</v>
      </c>
      <c r="S11" s="23">
        <v>1</v>
      </c>
      <c r="T11" s="23">
        <v>1</v>
      </c>
      <c r="U11" s="33">
        <v>1</v>
      </c>
      <c r="V11" s="20">
        <v>1</v>
      </c>
      <c r="W11" s="32">
        <v>0</v>
      </c>
      <c r="X11" s="32">
        <v>0</v>
      </c>
      <c r="Y11" s="20">
        <v>2</v>
      </c>
      <c r="Z11" s="33">
        <v>3</v>
      </c>
      <c r="AA11" s="20">
        <v>3</v>
      </c>
      <c r="AB11" s="20">
        <v>3</v>
      </c>
      <c r="AC11" s="20">
        <v>3</v>
      </c>
      <c r="AD11" s="31">
        <v>0</v>
      </c>
      <c r="AE11" s="32">
        <v>0</v>
      </c>
      <c r="AF11" s="34">
        <v>2</v>
      </c>
      <c r="AG11" s="27">
        <v>6</v>
      </c>
      <c r="AH11" s="27">
        <v>6</v>
      </c>
      <c r="AI11" s="27">
        <v>6</v>
      </c>
      <c r="AJ11" s="28">
        <v>6</v>
      </c>
      <c r="AK11" s="27">
        <v>6</v>
      </c>
      <c r="AL11" s="29">
        <v>6</v>
      </c>
      <c r="AM11" s="30">
        <v>2</v>
      </c>
      <c r="AN11" s="30">
        <v>2</v>
      </c>
      <c r="AO11" s="30">
        <v>2</v>
      </c>
      <c r="AP11" s="30">
        <v>2</v>
      </c>
      <c r="AQ11" s="30">
        <v>2</v>
      </c>
      <c r="AR11" s="30">
        <v>2</v>
      </c>
      <c r="AS11" s="30">
        <v>2</v>
      </c>
      <c r="AT11" s="30">
        <v>2</v>
      </c>
      <c r="AU11" s="30">
        <v>3</v>
      </c>
      <c r="AV11" s="29">
        <v>3</v>
      </c>
      <c r="AW11" s="30">
        <v>3</v>
      </c>
      <c r="AX11" s="56">
        <v>3</v>
      </c>
      <c r="AY11" s="56">
        <v>4</v>
      </c>
      <c r="AZ11" s="59">
        <v>4</v>
      </c>
      <c r="BA11" s="56">
        <v>4</v>
      </c>
      <c r="BB11" s="30">
        <v>4</v>
      </c>
      <c r="BC11" s="29">
        <v>4</v>
      </c>
      <c r="BD11" s="58">
        <v>4</v>
      </c>
      <c r="BE11" s="65">
        <v>4</v>
      </c>
      <c r="BF11" s="56">
        <v>4</v>
      </c>
      <c r="BG11" s="56">
        <v>4</v>
      </c>
      <c r="BH11" s="65">
        <v>4</v>
      </c>
      <c r="BI11" s="65">
        <v>4</v>
      </c>
      <c r="BJ11" s="65">
        <v>4</v>
      </c>
      <c r="BK11" s="34">
        <v>0</v>
      </c>
      <c r="BL11" s="56">
        <v>0</v>
      </c>
      <c r="BM11" s="56">
        <v>0</v>
      </c>
      <c r="BN11" s="56">
        <v>0</v>
      </c>
      <c r="BO11" s="56">
        <v>0</v>
      </c>
      <c r="BP11" s="56">
        <v>7</v>
      </c>
      <c r="BQ11" s="56">
        <v>7</v>
      </c>
      <c r="BR11" s="56">
        <v>7</v>
      </c>
      <c r="BS11" s="56">
        <v>7</v>
      </c>
      <c r="BT11" s="56">
        <v>0</v>
      </c>
      <c r="BU11" s="59">
        <v>0</v>
      </c>
      <c r="BV11" s="56">
        <v>0</v>
      </c>
      <c r="BW11" s="56">
        <v>0</v>
      </c>
      <c r="BX11" s="56">
        <v>0</v>
      </c>
      <c r="BY11" s="56">
        <v>0</v>
      </c>
      <c r="BZ11" s="56">
        <v>0</v>
      </c>
      <c r="CA11" s="56">
        <v>0</v>
      </c>
      <c r="CB11" s="59">
        <v>0</v>
      </c>
      <c r="CC11" s="56">
        <v>0</v>
      </c>
      <c r="CD11" s="56">
        <v>0</v>
      </c>
      <c r="CE11" s="56">
        <v>1</v>
      </c>
      <c r="CF11" s="56">
        <v>1</v>
      </c>
      <c r="CG11" s="59">
        <v>11</v>
      </c>
      <c r="CH11" s="90">
        <v>0</v>
      </c>
      <c r="CI11" s="90">
        <v>0</v>
      </c>
      <c r="CJ11" s="59">
        <v>12</v>
      </c>
      <c r="CK11" s="56">
        <v>13</v>
      </c>
      <c r="CL11" s="56">
        <v>14</v>
      </c>
      <c r="CM11" s="56">
        <v>14</v>
      </c>
      <c r="CN11" s="56">
        <v>14</v>
      </c>
      <c r="CO11" s="65">
        <v>14</v>
      </c>
      <c r="CP11" s="56">
        <v>14</v>
      </c>
      <c r="CQ11" s="56">
        <v>1</v>
      </c>
      <c r="CR11" s="56">
        <v>1</v>
      </c>
      <c r="CS11" s="56">
        <v>1</v>
      </c>
      <c r="CT11" s="56">
        <v>2</v>
      </c>
      <c r="CU11" s="59">
        <v>2</v>
      </c>
      <c r="CV11" s="56">
        <v>0</v>
      </c>
      <c r="CW11" s="56">
        <v>0</v>
      </c>
      <c r="CX11" s="56">
        <v>4</v>
      </c>
      <c r="CY11" s="56">
        <v>6</v>
      </c>
      <c r="CZ11" s="56">
        <v>6</v>
      </c>
      <c r="DA11" s="56">
        <v>7</v>
      </c>
      <c r="DB11" s="56">
        <v>8</v>
      </c>
      <c r="DC11" s="56">
        <v>8</v>
      </c>
      <c r="DD11" s="56">
        <v>8</v>
      </c>
      <c r="DE11" s="56">
        <v>9</v>
      </c>
      <c r="DF11" s="56">
        <v>9</v>
      </c>
      <c r="DG11" s="56">
        <v>9</v>
      </c>
      <c r="DH11" s="56">
        <v>9</v>
      </c>
      <c r="DI11" s="56">
        <v>10</v>
      </c>
      <c r="DJ11" s="56">
        <v>10</v>
      </c>
      <c r="DK11" s="56">
        <v>10</v>
      </c>
      <c r="DL11" s="56">
        <v>10</v>
      </c>
      <c r="DM11" s="56">
        <v>10</v>
      </c>
      <c r="DN11" s="56">
        <v>10</v>
      </c>
      <c r="DO11" s="56">
        <v>10</v>
      </c>
      <c r="DP11" s="56">
        <v>10</v>
      </c>
      <c r="DQ11" s="56">
        <v>12</v>
      </c>
      <c r="DR11" s="56">
        <v>12</v>
      </c>
      <c r="DS11" s="56">
        <v>2</v>
      </c>
      <c r="DT11" s="56">
        <v>2</v>
      </c>
      <c r="DU11" s="56">
        <v>2</v>
      </c>
      <c r="DV11" s="56">
        <v>2</v>
      </c>
      <c r="DW11" s="56">
        <v>2</v>
      </c>
      <c r="DX11" s="56">
        <v>0</v>
      </c>
      <c r="DY11" s="56">
        <v>0</v>
      </c>
      <c r="DZ11" s="56">
        <v>2</v>
      </c>
      <c r="EA11" s="56">
        <v>2</v>
      </c>
      <c r="EB11" s="56">
        <v>2</v>
      </c>
      <c r="EC11" s="56">
        <v>1</v>
      </c>
      <c r="ED11" s="56">
        <v>1</v>
      </c>
      <c r="EE11" s="56">
        <v>2</v>
      </c>
      <c r="EF11" s="56">
        <v>0</v>
      </c>
      <c r="EG11" s="56">
        <v>2</v>
      </c>
      <c r="EH11" s="56">
        <v>2</v>
      </c>
      <c r="EI11" s="56">
        <v>2</v>
      </c>
      <c r="EJ11" s="56">
        <v>2</v>
      </c>
      <c r="EK11" s="56">
        <v>2</v>
      </c>
      <c r="EL11" s="56">
        <v>2</v>
      </c>
      <c r="EM11" s="56">
        <v>2</v>
      </c>
      <c r="EN11" s="56">
        <v>2</v>
      </c>
      <c r="EO11" s="56">
        <v>2</v>
      </c>
      <c r="EP11" s="56">
        <v>2</v>
      </c>
      <c r="EQ11" s="56">
        <v>3</v>
      </c>
      <c r="ER11" s="56">
        <v>4</v>
      </c>
      <c r="ES11" s="56">
        <v>0</v>
      </c>
      <c r="ET11" s="56">
        <v>0</v>
      </c>
      <c r="EU11" s="56">
        <v>4</v>
      </c>
      <c r="EV11" s="65">
        <v>4</v>
      </c>
      <c r="EW11" s="65">
        <v>0</v>
      </c>
      <c r="EX11" s="65">
        <v>3</v>
      </c>
      <c r="EY11" s="65">
        <v>3</v>
      </c>
      <c r="EZ11" s="65">
        <v>3</v>
      </c>
      <c r="FA11" s="65">
        <v>3</v>
      </c>
      <c r="FB11" s="65">
        <v>3</v>
      </c>
      <c r="FC11" s="65">
        <v>3</v>
      </c>
      <c r="FD11" s="65">
        <v>5</v>
      </c>
      <c r="FE11" s="65">
        <v>5</v>
      </c>
      <c r="FF11" s="65">
        <v>6</v>
      </c>
      <c r="FG11" s="65">
        <v>6</v>
      </c>
      <c r="FH11" s="65">
        <v>6</v>
      </c>
      <c r="FI11" s="65">
        <v>6</v>
      </c>
      <c r="FJ11" s="65">
        <v>9</v>
      </c>
      <c r="FK11" s="65">
        <v>9</v>
      </c>
      <c r="FL11" s="65">
        <v>9</v>
      </c>
      <c r="FM11" s="65">
        <v>9</v>
      </c>
      <c r="FN11" s="65">
        <v>0</v>
      </c>
      <c r="FO11" s="65">
        <v>0</v>
      </c>
      <c r="FP11" s="65"/>
      <c r="FQ11" s="65"/>
      <c r="FR11" s="65"/>
      <c r="FS11" s="65"/>
      <c r="FT11" s="65"/>
      <c r="FU11" s="65"/>
      <c r="FV11" s="65"/>
      <c r="FW11" s="65"/>
      <c r="FX11" s="65"/>
      <c r="FY11" s="65"/>
      <c r="FZ11" s="56"/>
    </row>
    <row r="12" spans="1:182">
      <c r="A12" s="35" t="s">
        <v>34</v>
      </c>
      <c r="B12" s="18"/>
      <c r="C12" s="18"/>
      <c r="D12" s="19"/>
      <c r="E12" s="19"/>
      <c r="F12" s="19"/>
      <c r="G12" s="19"/>
      <c r="H12" s="19"/>
      <c r="I12" s="18"/>
      <c r="J12" s="18"/>
      <c r="K12" s="19"/>
      <c r="L12" s="19"/>
      <c r="M12" s="20"/>
      <c r="N12" s="20"/>
      <c r="O12" s="20"/>
      <c r="P12" s="31"/>
      <c r="Q12" s="32"/>
      <c r="R12" s="23"/>
      <c r="S12" s="23"/>
      <c r="T12" s="23"/>
      <c r="U12" s="33"/>
      <c r="V12" s="20"/>
      <c r="W12" s="32"/>
      <c r="X12" s="32"/>
      <c r="Y12" s="20"/>
      <c r="Z12" s="33"/>
      <c r="AA12" s="20"/>
      <c r="AB12" s="20"/>
      <c r="AC12" s="20"/>
      <c r="AD12" s="31"/>
      <c r="AE12" s="32"/>
      <c r="AF12" s="34"/>
      <c r="AG12" s="27"/>
      <c r="AH12" s="27"/>
      <c r="AI12" s="27"/>
      <c r="AJ12" s="28"/>
      <c r="AK12" s="27"/>
      <c r="AL12" s="29"/>
      <c r="AM12" s="30"/>
      <c r="AN12" s="30"/>
      <c r="AO12" s="30"/>
      <c r="AP12" s="30"/>
      <c r="AQ12" s="30"/>
      <c r="AR12" s="30"/>
      <c r="AS12" s="30"/>
      <c r="AT12" s="30"/>
      <c r="AU12" s="30"/>
      <c r="AV12" s="29"/>
      <c r="AW12" s="30"/>
      <c r="AX12" s="56"/>
      <c r="AY12" s="56"/>
      <c r="AZ12" s="59"/>
      <c r="BA12" s="56"/>
      <c r="BB12" s="30"/>
      <c r="BC12" s="29"/>
      <c r="BD12" s="58"/>
      <c r="BE12" s="65"/>
      <c r="BF12" s="56"/>
      <c r="BG12" s="56"/>
      <c r="BH12" s="65"/>
      <c r="BI12" s="65"/>
      <c r="BJ12" s="65"/>
      <c r="BK12" s="34"/>
      <c r="BL12" s="56"/>
      <c r="BM12" s="56"/>
      <c r="BN12" s="56"/>
      <c r="BO12" s="56"/>
      <c r="BP12" s="56"/>
      <c r="BQ12" s="56"/>
      <c r="BR12" s="56"/>
      <c r="BS12" s="56"/>
      <c r="BT12" s="56"/>
      <c r="BU12" s="59"/>
      <c r="BV12" s="56"/>
      <c r="BW12" s="56"/>
      <c r="BX12" s="56"/>
      <c r="BY12" s="56"/>
      <c r="BZ12" s="56"/>
      <c r="CA12" s="56"/>
      <c r="CB12" s="59"/>
      <c r="CC12" s="56"/>
      <c r="CD12" s="56"/>
      <c r="CE12" s="56"/>
      <c r="CF12" s="56"/>
      <c r="CG12" s="59"/>
      <c r="CH12" s="90"/>
      <c r="CI12" s="90"/>
      <c r="CJ12" s="59"/>
      <c r="CK12" s="56"/>
      <c r="CL12" s="56"/>
      <c r="CM12" s="56"/>
      <c r="CN12" s="56"/>
      <c r="CO12" s="65"/>
      <c r="CP12" s="56"/>
      <c r="CQ12" s="56"/>
      <c r="CR12" s="56"/>
      <c r="CS12" s="56"/>
      <c r="CT12" s="56"/>
      <c r="CU12" s="59"/>
      <c r="CV12" s="56"/>
      <c r="CW12" s="56"/>
      <c r="CX12" s="56"/>
      <c r="CY12" s="56"/>
      <c r="CZ12" s="56"/>
      <c r="DA12" s="56"/>
      <c r="DB12" s="56"/>
      <c r="DC12" s="56"/>
      <c r="DD12" s="56"/>
      <c r="DE12" s="56"/>
      <c r="DF12" s="56"/>
      <c r="DG12" s="56"/>
      <c r="DH12" s="56"/>
      <c r="DI12" s="56"/>
      <c r="DJ12" s="56"/>
      <c r="DK12" s="56"/>
      <c r="DL12" s="56"/>
      <c r="DM12" s="56"/>
      <c r="DN12" s="56"/>
      <c r="DO12" s="56"/>
      <c r="DP12" s="56">
        <v>0</v>
      </c>
      <c r="DQ12" s="56">
        <v>0</v>
      </c>
      <c r="DR12" s="56">
        <v>0</v>
      </c>
      <c r="DS12" s="56">
        <v>0</v>
      </c>
      <c r="DT12" s="56">
        <v>0</v>
      </c>
      <c r="DU12" s="56">
        <v>0</v>
      </c>
      <c r="DV12" s="56">
        <v>0</v>
      </c>
      <c r="DW12" s="56">
        <v>0</v>
      </c>
      <c r="DX12" s="56">
        <v>0</v>
      </c>
      <c r="DY12" s="56">
        <v>0</v>
      </c>
      <c r="DZ12" s="56">
        <v>0</v>
      </c>
      <c r="EA12" s="56">
        <v>0</v>
      </c>
      <c r="EB12" s="56">
        <v>0</v>
      </c>
      <c r="EC12" s="56">
        <v>2</v>
      </c>
      <c r="ED12" s="56">
        <v>2</v>
      </c>
      <c r="EE12" s="56">
        <v>0</v>
      </c>
      <c r="EF12" s="56">
        <v>0</v>
      </c>
      <c r="EG12" s="56">
        <v>1</v>
      </c>
      <c r="EH12" s="56">
        <v>2</v>
      </c>
      <c r="EI12" s="56">
        <v>1</v>
      </c>
      <c r="EJ12" s="56">
        <v>0</v>
      </c>
      <c r="EK12" s="56">
        <v>0</v>
      </c>
      <c r="EL12" s="56">
        <v>0</v>
      </c>
      <c r="EM12" s="56">
        <v>0</v>
      </c>
      <c r="EN12" s="56">
        <v>0</v>
      </c>
      <c r="EO12" s="56">
        <v>0</v>
      </c>
      <c r="EP12" s="56">
        <v>0</v>
      </c>
      <c r="EQ12" s="56">
        <v>0</v>
      </c>
      <c r="ER12" s="56">
        <v>0</v>
      </c>
      <c r="ES12" s="56">
        <v>0</v>
      </c>
      <c r="ET12" s="56">
        <v>0</v>
      </c>
      <c r="EU12" s="56">
        <v>0</v>
      </c>
      <c r="EV12" s="65">
        <v>0</v>
      </c>
      <c r="EW12" s="65">
        <v>1</v>
      </c>
      <c r="EX12" s="65">
        <v>0</v>
      </c>
      <c r="EY12" s="65">
        <v>0</v>
      </c>
      <c r="EZ12" s="65">
        <v>0</v>
      </c>
      <c r="FA12" s="65">
        <v>0</v>
      </c>
      <c r="FB12" s="65">
        <v>0</v>
      </c>
      <c r="FC12" s="65">
        <v>0</v>
      </c>
      <c r="FD12" s="65">
        <v>0</v>
      </c>
      <c r="FE12" s="65">
        <v>0</v>
      </c>
      <c r="FF12" s="65">
        <v>0</v>
      </c>
      <c r="FG12" s="65">
        <v>0</v>
      </c>
      <c r="FH12" s="65">
        <v>0</v>
      </c>
      <c r="FI12" s="65">
        <v>1</v>
      </c>
      <c r="FJ12" s="65">
        <v>1</v>
      </c>
      <c r="FK12" s="65">
        <v>1</v>
      </c>
      <c r="FL12" s="65">
        <v>0</v>
      </c>
      <c r="FM12" s="65">
        <v>0</v>
      </c>
      <c r="FN12" s="65">
        <v>0</v>
      </c>
      <c r="FO12" s="65">
        <v>0</v>
      </c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56"/>
    </row>
    <row r="13" spans="1:182">
      <c r="A13" s="35" t="s">
        <v>35</v>
      </c>
      <c r="B13" s="18"/>
      <c r="C13" s="18"/>
      <c r="D13" s="19"/>
      <c r="E13" s="19"/>
      <c r="F13" s="19"/>
      <c r="G13" s="19"/>
      <c r="H13" s="19"/>
      <c r="I13" s="18"/>
      <c r="J13" s="18"/>
      <c r="K13" s="19"/>
      <c r="L13" s="19"/>
      <c r="M13" s="20"/>
      <c r="N13" s="20"/>
      <c r="O13" s="20"/>
      <c r="P13" s="31"/>
      <c r="Q13" s="32"/>
      <c r="R13" s="23"/>
      <c r="S13" s="23"/>
      <c r="T13" s="23"/>
      <c r="U13" s="33"/>
      <c r="V13" s="20"/>
      <c r="W13" s="32"/>
      <c r="X13" s="32"/>
      <c r="Y13" s="20"/>
      <c r="Z13" s="33"/>
      <c r="AA13" s="20"/>
      <c r="AB13" s="20"/>
      <c r="AC13" s="20"/>
      <c r="AD13" s="31"/>
      <c r="AE13" s="32"/>
      <c r="AF13" s="34"/>
      <c r="AG13" s="27"/>
      <c r="AH13" s="27"/>
      <c r="AI13" s="27"/>
      <c r="AJ13" s="28"/>
      <c r="AK13" s="27"/>
      <c r="AL13" s="29"/>
      <c r="AM13" s="30"/>
      <c r="AN13" s="30"/>
      <c r="AO13" s="30"/>
      <c r="AP13" s="30"/>
      <c r="AQ13" s="30"/>
      <c r="AR13" s="30"/>
      <c r="AS13" s="30"/>
      <c r="AT13" s="30"/>
      <c r="AU13" s="30"/>
      <c r="AV13" s="29"/>
      <c r="AW13" s="30"/>
      <c r="AX13" s="56"/>
      <c r="AY13" s="56"/>
      <c r="AZ13" s="59"/>
      <c r="BA13" s="56"/>
      <c r="BB13" s="30"/>
      <c r="BC13" s="29"/>
      <c r="BD13" s="58"/>
      <c r="BE13" s="65"/>
      <c r="BF13" s="56"/>
      <c r="BG13" s="56"/>
      <c r="BH13" s="65"/>
      <c r="BI13" s="65"/>
      <c r="BJ13" s="65"/>
      <c r="BK13" s="34"/>
      <c r="BL13" s="56"/>
      <c r="BM13" s="56"/>
      <c r="BN13" s="56"/>
      <c r="BO13" s="56"/>
      <c r="BP13" s="56"/>
      <c r="BQ13" s="56"/>
      <c r="BR13" s="56"/>
      <c r="BS13" s="56"/>
      <c r="BT13" s="56"/>
      <c r="BU13" s="59"/>
      <c r="BV13" s="56"/>
      <c r="BW13" s="56"/>
      <c r="BX13" s="56"/>
      <c r="BY13" s="56"/>
      <c r="BZ13" s="56"/>
      <c r="CA13" s="56"/>
      <c r="CB13" s="59"/>
      <c r="CC13" s="56"/>
      <c r="CD13" s="56"/>
      <c r="CE13" s="56"/>
      <c r="CF13" s="56"/>
      <c r="CG13" s="59"/>
      <c r="CH13" s="90"/>
      <c r="CI13" s="90"/>
      <c r="CJ13" s="59"/>
      <c r="CK13" s="56"/>
      <c r="CL13" s="56"/>
      <c r="CM13" s="56"/>
      <c r="CN13" s="56"/>
      <c r="CO13" s="65"/>
      <c r="CP13" s="56"/>
      <c r="CQ13" s="56"/>
      <c r="CR13" s="56"/>
      <c r="CS13" s="56"/>
      <c r="CT13" s="56"/>
      <c r="CU13" s="59"/>
      <c r="CV13" s="56"/>
      <c r="CW13" s="56"/>
      <c r="CX13" s="56"/>
      <c r="CY13" s="56"/>
      <c r="CZ13" s="56"/>
      <c r="DA13" s="56"/>
      <c r="DB13" s="56"/>
      <c r="DC13" s="56"/>
      <c r="DD13" s="56"/>
      <c r="DE13" s="56"/>
      <c r="DF13" s="56"/>
      <c r="DG13" s="56"/>
      <c r="DH13" s="56"/>
      <c r="DI13" s="56"/>
      <c r="DJ13" s="56"/>
      <c r="DK13" s="56"/>
      <c r="DL13" s="56"/>
      <c r="DM13" s="56"/>
      <c r="DN13" s="56"/>
      <c r="DO13" s="56"/>
      <c r="DP13" s="56">
        <v>0</v>
      </c>
      <c r="DQ13" s="56">
        <v>0</v>
      </c>
      <c r="DR13" s="56">
        <v>0</v>
      </c>
      <c r="DS13" s="56">
        <v>0</v>
      </c>
      <c r="DT13" s="56">
        <v>0</v>
      </c>
      <c r="DU13" s="56">
        <v>0</v>
      </c>
      <c r="DV13" s="56">
        <v>0</v>
      </c>
      <c r="DW13" s="56">
        <v>0</v>
      </c>
      <c r="DX13" s="56">
        <v>0</v>
      </c>
      <c r="DY13" s="56">
        <v>0</v>
      </c>
      <c r="DZ13" s="56">
        <v>0</v>
      </c>
      <c r="EA13" s="56">
        <v>0</v>
      </c>
      <c r="EB13" s="56">
        <v>0</v>
      </c>
      <c r="EC13" s="56">
        <v>1</v>
      </c>
      <c r="ED13" s="56">
        <v>1</v>
      </c>
      <c r="EE13" s="56">
        <v>0</v>
      </c>
      <c r="EF13" s="56">
        <v>0</v>
      </c>
      <c r="EG13" s="56">
        <v>2</v>
      </c>
      <c r="EH13" s="56">
        <v>2</v>
      </c>
      <c r="EI13" s="56">
        <v>2</v>
      </c>
      <c r="EJ13" s="56">
        <v>2</v>
      </c>
      <c r="EK13" s="56">
        <v>2</v>
      </c>
      <c r="EL13" s="56">
        <v>2</v>
      </c>
      <c r="EM13" s="56">
        <v>0</v>
      </c>
      <c r="EN13" s="56">
        <v>2</v>
      </c>
      <c r="EO13" s="56">
        <v>2</v>
      </c>
      <c r="EP13" s="56">
        <v>2</v>
      </c>
      <c r="EQ13" s="56">
        <v>2</v>
      </c>
      <c r="ER13" s="56">
        <v>2</v>
      </c>
      <c r="ES13" s="56">
        <v>2</v>
      </c>
      <c r="ET13" s="56">
        <v>2</v>
      </c>
      <c r="EU13" s="56">
        <v>0</v>
      </c>
      <c r="EV13" s="65">
        <v>0</v>
      </c>
      <c r="EW13" s="65">
        <v>0</v>
      </c>
      <c r="EX13" s="65">
        <v>0</v>
      </c>
      <c r="EY13" s="65">
        <v>0</v>
      </c>
      <c r="EZ13" s="65">
        <v>0</v>
      </c>
      <c r="FA13" s="65">
        <v>0</v>
      </c>
      <c r="FB13" s="65">
        <v>0</v>
      </c>
      <c r="FC13" s="65">
        <v>0</v>
      </c>
      <c r="FD13" s="65">
        <v>0</v>
      </c>
      <c r="FE13" s="65">
        <v>0</v>
      </c>
      <c r="FF13" s="65">
        <v>0</v>
      </c>
      <c r="FG13" s="65">
        <v>0</v>
      </c>
      <c r="FH13" s="65">
        <v>0</v>
      </c>
      <c r="FI13" s="65">
        <v>0</v>
      </c>
      <c r="FJ13" s="65">
        <v>0</v>
      </c>
      <c r="FK13" s="65">
        <v>0</v>
      </c>
      <c r="FL13" s="65">
        <v>0</v>
      </c>
      <c r="FM13" s="65">
        <v>0</v>
      </c>
      <c r="FN13" s="65">
        <v>0</v>
      </c>
      <c r="FO13" s="65">
        <v>0</v>
      </c>
      <c r="FP13" s="65"/>
      <c r="FQ13" s="65"/>
      <c r="FR13" s="65"/>
      <c r="FS13" s="65"/>
      <c r="FT13" s="65"/>
      <c r="FU13" s="65"/>
      <c r="FV13" s="65"/>
      <c r="FW13" s="65"/>
      <c r="FX13" s="65"/>
      <c r="FY13" s="65"/>
      <c r="FZ13" s="56"/>
    </row>
    <row r="14" spans="1:182">
      <c r="A14" s="36" t="s">
        <v>36</v>
      </c>
      <c r="B14" s="18">
        <v>0</v>
      </c>
      <c r="C14" s="18">
        <v>0</v>
      </c>
      <c r="D14" s="19">
        <v>6</v>
      </c>
      <c r="E14" s="19">
        <v>6</v>
      </c>
      <c r="F14" s="19">
        <v>6</v>
      </c>
      <c r="G14" s="19">
        <v>0</v>
      </c>
      <c r="H14" s="19">
        <v>6</v>
      </c>
      <c r="I14" s="18">
        <v>6</v>
      </c>
      <c r="J14" s="18">
        <v>6</v>
      </c>
      <c r="K14" s="19">
        <v>6</v>
      </c>
      <c r="L14" s="19">
        <v>6</v>
      </c>
      <c r="M14" s="20">
        <v>6</v>
      </c>
      <c r="N14" s="20">
        <v>6</v>
      </c>
      <c r="O14" s="20">
        <v>6</v>
      </c>
      <c r="P14" s="31">
        <v>0</v>
      </c>
      <c r="Q14" s="32">
        <v>0</v>
      </c>
      <c r="R14" s="23">
        <v>5</v>
      </c>
      <c r="S14" s="23">
        <v>7</v>
      </c>
      <c r="T14" s="23">
        <v>6</v>
      </c>
      <c r="U14" s="33">
        <v>6</v>
      </c>
      <c r="V14" s="20">
        <v>6</v>
      </c>
      <c r="W14" s="32">
        <v>0</v>
      </c>
      <c r="X14" s="32">
        <v>0</v>
      </c>
      <c r="Y14" s="20">
        <v>2</v>
      </c>
      <c r="Z14" s="33">
        <v>2</v>
      </c>
      <c r="AA14" s="20">
        <v>2</v>
      </c>
      <c r="AB14" s="20">
        <v>2</v>
      </c>
      <c r="AC14" s="20">
        <v>2</v>
      </c>
      <c r="AD14" s="31">
        <v>0</v>
      </c>
      <c r="AE14" s="32">
        <v>0</v>
      </c>
      <c r="AF14" s="34">
        <v>8</v>
      </c>
      <c r="AG14" s="27">
        <v>3</v>
      </c>
      <c r="AH14" s="27">
        <v>3</v>
      </c>
      <c r="AI14" s="27">
        <v>3</v>
      </c>
      <c r="AJ14" s="28">
        <v>3</v>
      </c>
      <c r="AK14" s="27">
        <v>3</v>
      </c>
      <c r="AL14" s="29">
        <v>3</v>
      </c>
      <c r="AM14" s="30">
        <v>2</v>
      </c>
      <c r="AN14" s="30">
        <v>2</v>
      </c>
      <c r="AO14" s="30">
        <v>6</v>
      </c>
      <c r="AP14" s="30">
        <v>6</v>
      </c>
      <c r="AQ14" s="30">
        <v>6</v>
      </c>
      <c r="AR14" s="30">
        <v>6</v>
      </c>
      <c r="AS14" s="30">
        <v>6</v>
      </c>
      <c r="AT14" s="30">
        <v>6</v>
      </c>
      <c r="AU14" s="30">
        <v>6</v>
      </c>
      <c r="AV14" s="29">
        <v>6</v>
      </c>
      <c r="AW14" s="30">
        <v>6</v>
      </c>
      <c r="AX14" s="56">
        <v>6</v>
      </c>
      <c r="AY14" s="56">
        <v>6</v>
      </c>
      <c r="AZ14" s="59">
        <v>6</v>
      </c>
      <c r="BA14" s="56">
        <v>6</v>
      </c>
      <c r="BB14" s="30">
        <v>6</v>
      </c>
      <c r="BC14" s="29">
        <v>6</v>
      </c>
      <c r="BD14" s="58">
        <v>6</v>
      </c>
      <c r="BE14" s="65">
        <v>6</v>
      </c>
      <c r="BF14" s="56">
        <v>6</v>
      </c>
      <c r="BG14" s="56">
        <v>6</v>
      </c>
      <c r="BH14" s="65">
        <v>6</v>
      </c>
      <c r="BI14" s="65">
        <v>6</v>
      </c>
      <c r="BJ14" s="65">
        <v>6</v>
      </c>
      <c r="BK14" s="34">
        <v>30</v>
      </c>
      <c r="BL14" s="56">
        <v>30</v>
      </c>
      <c r="BM14" s="56">
        <v>30</v>
      </c>
      <c r="BN14" s="56">
        <v>30</v>
      </c>
      <c r="BO14" s="56">
        <v>30</v>
      </c>
      <c r="BP14" s="56">
        <v>30</v>
      </c>
      <c r="BQ14" s="56">
        <v>30</v>
      </c>
      <c r="BR14" s="56">
        <v>30</v>
      </c>
      <c r="BS14" s="56">
        <v>30</v>
      </c>
      <c r="BT14" s="56">
        <v>30</v>
      </c>
      <c r="BU14" s="59">
        <v>30</v>
      </c>
      <c r="BV14" s="56">
        <v>16</v>
      </c>
      <c r="BW14" s="56">
        <v>16</v>
      </c>
      <c r="BX14" s="56">
        <v>16</v>
      </c>
      <c r="BY14" s="56">
        <v>16</v>
      </c>
      <c r="BZ14" s="56">
        <v>16</v>
      </c>
      <c r="CA14" s="56">
        <v>16</v>
      </c>
      <c r="CB14" s="59">
        <v>1</v>
      </c>
      <c r="CC14" s="56">
        <v>16</v>
      </c>
      <c r="CD14" s="56">
        <v>16</v>
      </c>
      <c r="CE14" s="56">
        <v>16</v>
      </c>
      <c r="CF14" s="56">
        <v>16</v>
      </c>
      <c r="CG14" s="59">
        <v>10</v>
      </c>
      <c r="CH14" s="90">
        <v>10</v>
      </c>
      <c r="CI14" s="90">
        <v>10</v>
      </c>
      <c r="CJ14" s="59">
        <v>10</v>
      </c>
      <c r="CK14" s="56">
        <v>10</v>
      </c>
      <c r="CL14" s="56">
        <v>10</v>
      </c>
      <c r="CM14" s="56">
        <v>10</v>
      </c>
      <c r="CN14" s="56">
        <v>10</v>
      </c>
      <c r="CO14" s="65">
        <v>10</v>
      </c>
      <c r="CP14" s="56">
        <v>10</v>
      </c>
      <c r="CQ14" s="56">
        <v>10</v>
      </c>
      <c r="CR14" s="56">
        <v>3</v>
      </c>
      <c r="CS14" s="56">
        <v>3</v>
      </c>
      <c r="CT14" s="56">
        <v>3</v>
      </c>
      <c r="CU14" s="59">
        <v>3</v>
      </c>
      <c r="CV14" s="56">
        <v>0</v>
      </c>
      <c r="CW14" s="56">
        <v>0</v>
      </c>
      <c r="CX14" s="56">
        <v>0</v>
      </c>
      <c r="CY14" s="56">
        <v>1</v>
      </c>
      <c r="CZ14" s="56">
        <v>0</v>
      </c>
      <c r="DA14" s="56">
        <v>0</v>
      </c>
      <c r="DB14" s="56">
        <v>0</v>
      </c>
      <c r="DC14" s="56">
        <v>0</v>
      </c>
      <c r="DD14" s="56">
        <v>0</v>
      </c>
      <c r="DE14" s="56">
        <v>0</v>
      </c>
      <c r="DF14" s="56">
        <v>0</v>
      </c>
      <c r="DG14" s="56">
        <v>0</v>
      </c>
      <c r="DH14" s="56">
        <v>0</v>
      </c>
      <c r="DI14" s="56">
        <v>0</v>
      </c>
      <c r="DJ14" s="56">
        <v>0</v>
      </c>
      <c r="DK14" s="56">
        <v>0</v>
      </c>
      <c r="DL14" s="56">
        <v>0</v>
      </c>
      <c r="DM14" s="56">
        <v>1</v>
      </c>
      <c r="DN14" s="56">
        <v>1</v>
      </c>
      <c r="DO14" s="56">
        <v>1</v>
      </c>
      <c r="DP14" s="56">
        <v>1</v>
      </c>
      <c r="DQ14" s="56">
        <v>1</v>
      </c>
      <c r="DR14" s="56">
        <v>1</v>
      </c>
      <c r="DS14" s="56">
        <v>0</v>
      </c>
      <c r="DT14" s="56">
        <v>0</v>
      </c>
      <c r="DU14" s="56">
        <v>0</v>
      </c>
      <c r="DV14" s="56">
        <v>8</v>
      </c>
      <c r="DW14" s="56">
        <v>8</v>
      </c>
      <c r="DX14" s="56">
        <v>0</v>
      </c>
      <c r="DY14" s="56">
        <v>0</v>
      </c>
      <c r="DZ14" s="56">
        <v>0</v>
      </c>
      <c r="EA14" s="56">
        <v>1</v>
      </c>
      <c r="EB14" s="56">
        <v>0</v>
      </c>
      <c r="EC14" s="56">
        <v>0</v>
      </c>
      <c r="ED14" s="56">
        <v>2</v>
      </c>
      <c r="EE14" s="56">
        <v>0</v>
      </c>
      <c r="EF14" s="56">
        <v>0</v>
      </c>
      <c r="EG14" s="56">
        <v>0</v>
      </c>
      <c r="EH14" s="56">
        <v>0</v>
      </c>
      <c r="EI14" s="56">
        <v>1</v>
      </c>
      <c r="EJ14" s="56">
        <v>1</v>
      </c>
      <c r="EK14" s="56">
        <v>1</v>
      </c>
      <c r="EL14" s="56">
        <v>1</v>
      </c>
      <c r="EM14" s="56">
        <v>0</v>
      </c>
      <c r="EN14" s="56">
        <v>0</v>
      </c>
      <c r="EO14" s="56">
        <v>0</v>
      </c>
      <c r="EP14" s="56">
        <v>0</v>
      </c>
      <c r="EQ14" s="56">
        <v>0</v>
      </c>
      <c r="ER14" s="56">
        <v>0</v>
      </c>
      <c r="ES14" s="56">
        <v>0</v>
      </c>
      <c r="ET14" s="56">
        <v>0</v>
      </c>
      <c r="EU14" s="56">
        <v>0</v>
      </c>
      <c r="EV14" s="65">
        <v>0</v>
      </c>
      <c r="EW14" s="65">
        <v>0</v>
      </c>
      <c r="EX14" s="65">
        <v>1</v>
      </c>
      <c r="EY14" s="65">
        <v>1</v>
      </c>
      <c r="EZ14" s="65">
        <v>1</v>
      </c>
      <c r="FA14" s="65">
        <v>1</v>
      </c>
      <c r="FB14" s="65">
        <v>1</v>
      </c>
      <c r="FC14" s="65">
        <v>1</v>
      </c>
      <c r="FD14" s="65">
        <v>0</v>
      </c>
      <c r="FE14" s="65">
        <v>0</v>
      </c>
      <c r="FF14" s="65">
        <v>0</v>
      </c>
      <c r="FG14" s="65">
        <v>0</v>
      </c>
      <c r="FH14" s="65">
        <v>0</v>
      </c>
      <c r="FI14" s="65">
        <v>0</v>
      </c>
      <c r="FJ14" s="65">
        <v>0</v>
      </c>
      <c r="FK14" s="65">
        <v>0</v>
      </c>
      <c r="FL14" s="65">
        <v>3</v>
      </c>
      <c r="FM14" s="65">
        <v>3</v>
      </c>
      <c r="FN14" s="65">
        <v>0</v>
      </c>
      <c r="FO14" s="65">
        <v>0</v>
      </c>
      <c r="FP14" s="65"/>
      <c r="FQ14" s="65"/>
      <c r="FR14" s="65"/>
      <c r="FS14" s="65"/>
      <c r="FT14" s="65"/>
      <c r="FU14" s="65"/>
      <c r="FV14" s="65"/>
      <c r="FW14" s="65"/>
      <c r="FX14" s="65"/>
      <c r="FY14" s="65"/>
      <c r="FZ14" s="56"/>
    </row>
    <row r="15" spans="1:182">
      <c r="A15" s="37" t="s">
        <v>37</v>
      </c>
      <c r="B15" s="38">
        <v>138</v>
      </c>
      <c r="C15" s="38">
        <v>3</v>
      </c>
      <c r="D15" s="39">
        <v>140</v>
      </c>
      <c r="E15" s="39">
        <v>139</v>
      </c>
      <c r="F15" s="39">
        <v>138</v>
      </c>
      <c r="G15" s="39">
        <v>138</v>
      </c>
      <c r="H15" s="39">
        <v>137</v>
      </c>
      <c r="I15" s="39">
        <v>135</v>
      </c>
      <c r="J15" s="39">
        <v>130</v>
      </c>
      <c r="K15" s="39">
        <v>135</v>
      </c>
      <c r="L15" s="39">
        <f>SUM(L3:L14)</f>
        <v>122</v>
      </c>
      <c r="M15" s="39">
        <f>SUM(M3:M14)</f>
        <v>122</v>
      </c>
      <c r="N15" s="39">
        <f>SUM(N3:N14)</f>
        <v>121</v>
      </c>
      <c r="O15" s="39">
        <f>SUM(O3:O14)</f>
        <v>120</v>
      </c>
      <c r="P15" s="40">
        <v>138</v>
      </c>
      <c r="Q15" s="41">
        <v>7</v>
      </c>
      <c r="R15" s="42">
        <f>SUM(R3:R14)</f>
        <v>123</v>
      </c>
      <c r="S15" s="42">
        <f>SUM(S3:S14)</f>
        <v>129</v>
      </c>
      <c r="T15" s="42">
        <f>SUM(T3:T14)</f>
        <v>129</v>
      </c>
      <c r="U15" s="40">
        <v>139</v>
      </c>
      <c r="V15" s="41">
        <v>138</v>
      </c>
      <c r="W15" s="41">
        <v>66</v>
      </c>
      <c r="X15" s="41">
        <v>14</v>
      </c>
      <c r="Y15" s="41">
        <v>142</v>
      </c>
      <c r="Z15" s="40">
        <v>142</v>
      </c>
      <c r="AA15" s="41">
        <v>142</v>
      </c>
      <c r="AB15" s="41">
        <v>141</v>
      </c>
      <c r="AC15" s="41">
        <v>141</v>
      </c>
      <c r="AD15" s="40">
        <v>78</v>
      </c>
      <c r="AE15" s="41">
        <v>14</v>
      </c>
      <c r="AF15" s="43">
        <v>142</v>
      </c>
      <c r="AG15" s="44">
        <v>145</v>
      </c>
      <c r="AH15" s="44">
        <v>146</v>
      </c>
      <c r="AI15" s="44">
        <v>147</v>
      </c>
      <c r="AJ15" s="45">
        <v>146</v>
      </c>
      <c r="AK15" s="44">
        <v>142</v>
      </c>
      <c r="AL15" s="46">
        <f>SUM(AL3:AL14)</f>
        <v>140</v>
      </c>
      <c r="AM15" s="47">
        <f>SUM(AM3:AM14)</f>
        <v>131</v>
      </c>
      <c r="AN15" s="47">
        <v>139</v>
      </c>
      <c r="AO15" s="47">
        <v>147</v>
      </c>
      <c r="AP15" s="47">
        <v>149</v>
      </c>
      <c r="AQ15" s="47">
        <v>149</v>
      </c>
      <c r="AR15" s="47">
        <f>SUM(AR3:AR14)</f>
        <v>140</v>
      </c>
      <c r="AS15" s="47">
        <f>SUM(AS3:AS14)</f>
        <v>146</v>
      </c>
      <c r="AT15" s="47">
        <f>SUM(AT3:AT14)</f>
        <v>140</v>
      </c>
      <c r="AU15" s="47">
        <v>148</v>
      </c>
      <c r="AV15" s="46">
        <f>SUM(AV3:AV14)</f>
        <v>143</v>
      </c>
      <c r="AW15" s="46">
        <v>148</v>
      </c>
      <c r="AX15" s="46">
        <v>147</v>
      </c>
      <c r="AY15" s="46">
        <v>147</v>
      </c>
      <c r="AZ15" s="60">
        <v>147</v>
      </c>
      <c r="BA15" s="46">
        <v>142</v>
      </c>
      <c r="BB15" s="47">
        <v>141</v>
      </c>
      <c r="BC15" s="47">
        <v>135</v>
      </c>
      <c r="BD15" s="62">
        <v>141</v>
      </c>
      <c r="BE15" s="62">
        <v>143</v>
      </c>
      <c r="BF15" s="62">
        <v>143</v>
      </c>
      <c r="BG15" s="62">
        <f>SUM(BG3:BG14)</f>
        <v>142</v>
      </c>
      <c r="BH15" s="71">
        <v>141</v>
      </c>
      <c r="BI15" s="71">
        <v>141</v>
      </c>
      <c r="BJ15" s="71">
        <v>139</v>
      </c>
      <c r="BK15" s="62">
        <v>161</v>
      </c>
      <c r="BL15" s="75">
        <v>160</v>
      </c>
      <c r="BM15" s="75">
        <v>160</v>
      </c>
      <c r="BN15" s="75">
        <f>SUM(BN3:BN14)</f>
        <v>159</v>
      </c>
      <c r="BO15" s="75">
        <v>160</v>
      </c>
      <c r="BP15" s="75">
        <v>162</v>
      </c>
      <c r="BQ15" s="75">
        <v>161</v>
      </c>
      <c r="BR15" s="75">
        <v>159</v>
      </c>
      <c r="BS15" s="75">
        <v>158</v>
      </c>
      <c r="BT15" s="75">
        <v>154</v>
      </c>
      <c r="BU15" s="76">
        <v>156</v>
      </c>
      <c r="BV15" s="75">
        <v>155</v>
      </c>
      <c r="BW15" s="75">
        <v>154</v>
      </c>
      <c r="BX15" s="75">
        <v>154</v>
      </c>
      <c r="BY15" s="75">
        <v>155</v>
      </c>
      <c r="BZ15" s="75">
        <v>154</v>
      </c>
      <c r="CA15" s="75">
        <v>154</v>
      </c>
      <c r="CB15" s="76">
        <v>150</v>
      </c>
      <c r="CC15" s="75">
        <v>164</v>
      </c>
      <c r="CD15" s="75">
        <v>164</v>
      </c>
      <c r="CE15" s="75">
        <v>164</v>
      </c>
      <c r="CF15" s="75">
        <v>164</v>
      </c>
      <c r="CG15" s="76">
        <v>167</v>
      </c>
      <c r="CH15" s="91">
        <v>156</v>
      </c>
      <c r="CI15" s="91">
        <f t="shared" ref="CI15:DQ15" si="0">SUM(CI3:CI14)</f>
        <v>156</v>
      </c>
      <c r="CJ15" s="76">
        <f t="shared" si="0"/>
        <v>163</v>
      </c>
      <c r="CK15" s="75">
        <f t="shared" si="0"/>
        <v>162</v>
      </c>
      <c r="CL15" s="75">
        <f t="shared" si="0"/>
        <v>161</v>
      </c>
      <c r="CM15" s="75">
        <f t="shared" si="0"/>
        <v>161</v>
      </c>
      <c r="CN15" s="75">
        <f t="shared" si="0"/>
        <v>161</v>
      </c>
      <c r="CO15" s="97">
        <f t="shared" si="0"/>
        <v>105</v>
      </c>
      <c r="CP15" s="75">
        <f t="shared" si="0"/>
        <v>36</v>
      </c>
      <c r="CQ15" s="75">
        <f t="shared" si="0"/>
        <v>148</v>
      </c>
      <c r="CR15" s="75">
        <f t="shared" si="0"/>
        <v>144</v>
      </c>
      <c r="CS15" s="75">
        <f t="shared" si="0"/>
        <v>144</v>
      </c>
      <c r="CT15" s="75">
        <f t="shared" si="0"/>
        <v>144</v>
      </c>
      <c r="CU15" s="76">
        <v>144</v>
      </c>
      <c r="CV15" s="75">
        <f t="shared" si="0"/>
        <v>144</v>
      </c>
      <c r="CW15" s="75">
        <f t="shared" si="0"/>
        <v>144</v>
      </c>
      <c r="CX15" s="75">
        <f t="shared" si="0"/>
        <v>144</v>
      </c>
      <c r="CY15" s="75">
        <f t="shared" si="0"/>
        <v>144</v>
      </c>
      <c r="CZ15" s="75">
        <f t="shared" si="0"/>
        <v>144</v>
      </c>
      <c r="DA15" s="75">
        <f t="shared" si="0"/>
        <v>144</v>
      </c>
      <c r="DB15" s="75">
        <f t="shared" si="0"/>
        <v>144</v>
      </c>
      <c r="DC15" s="75">
        <f t="shared" si="0"/>
        <v>144</v>
      </c>
      <c r="DD15" s="75">
        <f t="shared" si="0"/>
        <v>144</v>
      </c>
      <c r="DE15" s="75">
        <f t="shared" si="0"/>
        <v>144</v>
      </c>
      <c r="DF15" s="75">
        <f t="shared" si="0"/>
        <v>144</v>
      </c>
      <c r="DG15" s="75">
        <f t="shared" si="0"/>
        <v>142</v>
      </c>
      <c r="DH15" s="75">
        <f t="shared" si="0"/>
        <v>144</v>
      </c>
      <c r="DI15" s="75">
        <f t="shared" si="0"/>
        <v>144</v>
      </c>
      <c r="DJ15" s="75">
        <f t="shared" si="0"/>
        <v>144</v>
      </c>
      <c r="DK15" s="75">
        <f t="shared" si="0"/>
        <v>144</v>
      </c>
      <c r="DL15" s="75">
        <f t="shared" si="0"/>
        <v>144</v>
      </c>
      <c r="DM15" s="75">
        <f t="shared" si="0"/>
        <v>155</v>
      </c>
      <c r="DN15" s="75">
        <f t="shared" si="0"/>
        <v>154</v>
      </c>
      <c r="DO15" s="75">
        <f t="shared" si="0"/>
        <v>154</v>
      </c>
      <c r="DP15" s="75">
        <f t="shared" ref="DP15" si="1">SUM(DP3:DP14)</f>
        <v>153</v>
      </c>
      <c r="DQ15" s="75">
        <f t="shared" si="0"/>
        <v>153</v>
      </c>
      <c r="DR15" s="75">
        <f t="shared" ref="DR15:EF15" si="2">SUM(DR3:DR14)</f>
        <v>153</v>
      </c>
      <c r="DS15" s="75">
        <f t="shared" si="2"/>
        <v>147</v>
      </c>
      <c r="DT15" s="75">
        <f t="shared" si="2"/>
        <v>147</v>
      </c>
      <c r="DU15" s="75">
        <f t="shared" si="2"/>
        <v>147</v>
      </c>
      <c r="DV15" s="75">
        <f t="shared" si="2"/>
        <v>155</v>
      </c>
      <c r="DW15" s="75">
        <f t="shared" si="2"/>
        <v>155</v>
      </c>
      <c r="DX15" s="75">
        <f t="shared" si="2"/>
        <v>155</v>
      </c>
      <c r="DY15" s="75">
        <f t="shared" si="2"/>
        <v>155</v>
      </c>
      <c r="DZ15" s="75">
        <f t="shared" si="2"/>
        <v>155</v>
      </c>
      <c r="EA15" s="75">
        <f t="shared" si="2"/>
        <v>156</v>
      </c>
      <c r="EB15" s="75">
        <f t="shared" si="2"/>
        <v>156</v>
      </c>
      <c r="EC15" s="75">
        <f t="shared" si="2"/>
        <v>156</v>
      </c>
      <c r="ED15" s="75">
        <f t="shared" si="2"/>
        <v>158</v>
      </c>
      <c r="EE15" s="75">
        <f t="shared" si="2"/>
        <v>158</v>
      </c>
      <c r="EF15" s="75">
        <f t="shared" si="2"/>
        <v>158</v>
      </c>
      <c r="EG15" s="75">
        <f t="shared" ref="EG15:EV15" si="3">SUM(EG3:EG14)</f>
        <v>158</v>
      </c>
      <c r="EH15" s="75">
        <f t="shared" si="3"/>
        <v>160</v>
      </c>
      <c r="EI15" s="75">
        <f t="shared" si="3"/>
        <v>160</v>
      </c>
      <c r="EJ15" s="75">
        <f t="shared" si="3"/>
        <v>160</v>
      </c>
      <c r="EK15" s="75">
        <f t="shared" si="3"/>
        <v>160</v>
      </c>
      <c r="EL15" s="75">
        <f t="shared" si="3"/>
        <v>160</v>
      </c>
      <c r="EM15" s="75">
        <f t="shared" si="3"/>
        <v>160</v>
      </c>
      <c r="EN15" s="75">
        <f t="shared" si="3"/>
        <v>161</v>
      </c>
      <c r="EO15" s="75">
        <f t="shared" si="3"/>
        <v>161</v>
      </c>
      <c r="EP15" s="75">
        <f t="shared" si="3"/>
        <v>161</v>
      </c>
      <c r="EQ15" s="75">
        <f t="shared" si="3"/>
        <v>161</v>
      </c>
      <c r="ER15" s="75">
        <f t="shared" si="3"/>
        <v>161</v>
      </c>
      <c r="ES15" s="75">
        <f t="shared" si="3"/>
        <v>161</v>
      </c>
      <c r="ET15" s="75">
        <f t="shared" si="3"/>
        <v>161</v>
      </c>
      <c r="EU15" s="75">
        <f t="shared" si="3"/>
        <v>159</v>
      </c>
      <c r="EV15" s="97">
        <f t="shared" si="3"/>
        <v>159</v>
      </c>
      <c r="EW15" s="97">
        <f t="shared" ref="EW15" si="4">SUM(EW3:EW14)</f>
        <v>155</v>
      </c>
      <c r="EX15" s="97">
        <f t="shared" ref="EX15:FF15" si="5">SUM(EX3:EX14)</f>
        <v>156</v>
      </c>
      <c r="EY15" s="97">
        <f t="shared" si="5"/>
        <v>156</v>
      </c>
      <c r="EZ15" s="97">
        <f t="shared" si="5"/>
        <v>156</v>
      </c>
      <c r="FA15" s="97">
        <f t="shared" si="5"/>
        <v>156</v>
      </c>
      <c r="FB15" s="97">
        <f t="shared" si="5"/>
        <v>156</v>
      </c>
      <c r="FC15" s="97">
        <f t="shared" si="5"/>
        <v>156</v>
      </c>
      <c r="FD15" s="97">
        <f t="shared" si="5"/>
        <v>156</v>
      </c>
      <c r="FE15" s="97">
        <f t="shared" ref="FE15" si="6">SUM(FE3:FE14)</f>
        <v>156</v>
      </c>
      <c r="FF15" s="97">
        <f t="shared" si="5"/>
        <v>156</v>
      </c>
      <c r="FG15" s="97">
        <f t="shared" ref="FG15:FV15" si="7">SUM(FG3:FG14)</f>
        <v>156</v>
      </c>
      <c r="FH15" s="97">
        <f t="shared" si="7"/>
        <v>156</v>
      </c>
      <c r="FI15" s="97">
        <f t="shared" si="7"/>
        <v>159</v>
      </c>
      <c r="FJ15" s="97">
        <f t="shared" si="7"/>
        <v>159</v>
      </c>
      <c r="FK15" s="97">
        <f t="shared" si="7"/>
        <v>159</v>
      </c>
      <c r="FL15" s="97">
        <f t="shared" si="7"/>
        <v>162</v>
      </c>
      <c r="FM15" s="97">
        <f t="shared" si="7"/>
        <v>162</v>
      </c>
      <c r="FN15" s="97">
        <f t="shared" si="7"/>
        <v>162</v>
      </c>
      <c r="FO15" s="97">
        <f t="shared" si="7"/>
        <v>162</v>
      </c>
      <c r="FP15" s="97">
        <f t="shared" si="7"/>
        <v>0</v>
      </c>
      <c r="FQ15" s="97">
        <f t="shared" si="7"/>
        <v>0</v>
      </c>
      <c r="FR15" s="97">
        <f t="shared" si="7"/>
        <v>0</v>
      </c>
      <c r="FS15" s="97">
        <f t="shared" si="7"/>
        <v>0</v>
      </c>
      <c r="FT15" s="97">
        <f t="shared" si="7"/>
        <v>0</v>
      </c>
      <c r="FU15" s="97">
        <f t="shared" si="7"/>
        <v>0</v>
      </c>
      <c r="FV15" s="97">
        <f t="shared" si="7"/>
        <v>0</v>
      </c>
      <c r="FW15" s="97">
        <f t="shared" ref="FW15:FZ15" si="8">SUM(FW3:FW14)</f>
        <v>0</v>
      </c>
      <c r="FX15" s="97">
        <f t="shared" si="8"/>
        <v>0</v>
      </c>
      <c r="FY15" s="97">
        <f t="shared" si="8"/>
        <v>0</v>
      </c>
      <c r="FZ15" s="75">
        <f t="shared" si="8"/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F5666-1E05-4535-8F57-CA87DBD785F0}">
  <dimension ref="A1:W161"/>
  <sheetViews>
    <sheetView showGridLines="0" tabSelected="1" topLeftCell="A145" workbookViewId="0">
      <selection sqref="A1:J161"/>
    </sheetView>
  </sheetViews>
  <sheetFormatPr defaultRowHeight="15" outlineLevelCol="1"/>
  <cols>
    <col min="1" max="1" width="7" bestFit="1" customWidth="1"/>
    <col min="2" max="2" width="12.7109375" customWidth="1"/>
    <col min="3" max="3" width="12.28515625" customWidth="1"/>
    <col min="4" max="4" width="28.7109375" bestFit="1" customWidth="1"/>
    <col min="5" max="5" width="19.28515625" customWidth="1"/>
    <col min="6" max="6" width="13.7109375" customWidth="1"/>
    <col min="7" max="7" width="28.5703125" customWidth="1"/>
    <col min="8" max="8" width="17.7109375" customWidth="1"/>
    <col min="9" max="9" width="17.85546875" customWidth="1"/>
    <col min="10" max="12" width="17" customWidth="1"/>
    <col min="13" max="13" width="22" customWidth="1"/>
    <col min="14" max="14" width="11.7109375" style="88" customWidth="1" outlineLevel="1"/>
    <col min="15" max="15" width="17" style="77" customWidth="1" outlineLevel="1"/>
    <col min="16" max="16" width="20.85546875" style="137" customWidth="1" outlineLevel="1"/>
    <col min="17" max="18" width="20.85546875" customWidth="1" outlineLevel="1"/>
    <col min="19" max="19" width="16" bestFit="1" customWidth="1"/>
    <col min="20" max="20" width="19" customWidth="1"/>
    <col min="21" max="21" width="4.140625" customWidth="1" outlineLevel="1"/>
    <col min="22" max="22" width="9" customWidth="1" outlineLevel="1"/>
    <col min="23" max="23" width="2.140625" bestFit="1" customWidth="1"/>
  </cols>
  <sheetData>
    <row r="1" spans="1:23">
      <c r="A1" s="92" t="s">
        <v>38</v>
      </c>
      <c r="B1" s="92" t="s">
        <v>39</v>
      </c>
      <c r="C1" s="92" t="s">
        <v>40</v>
      </c>
      <c r="D1" s="92" t="s">
        <v>41</v>
      </c>
      <c r="E1" s="92" t="s">
        <v>42</v>
      </c>
      <c r="F1" s="92" t="s">
        <v>43</v>
      </c>
      <c r="G1" s="92" t="s">
        <v>44</v>
      </c>
      <c r="H1" s="92" t="s">
        <v>45</v>
      </c>
      <c r="I1" s="92" t="s">
        <v>46</v>
      </c>
      <c r="J1" s="93" t="s">
        <v>47</v>
      </c>
      <c r="K1" s="133" t="s">
        <v>48</v>
      </c>
      <c r="L1" s="133" t="s">
        <v>49</v>
      </c>
      <c r="M1" s="92" t="s">
        <v>50</v>
      </c>
      <c r="N1" s="94" t="s">
        <v>51</v>
      </c>
      <c r="O1" s="95" t="s">
        <v>52</v>
      </c>
      <c r="P1" s="147" t="s">
        <v>53</v>
      </c>
      <c r="Q1" s="318" t="s">
        <v>54</v>
      </c>
      <c r="R1" s="96" t="s">
        <v>55</v>
      </c>
      <c r="S1" s="78" t="s">
        <v>56</v>
      </c>
      <c r="T1" s="78" t="s">
        <v>57</v>
      </c>
      <c r="U1" t="s">
        <v>58</v>
      </c>
      <c r="V1" t="s">
        <v>59</v>
      </c>
      <c r="W1" t="s">
        <v>60</v>
      </c>
    </row>
    <row r="2" spans="1:23">
      <c r="A2" s="79" t="s">
        <v>61</v>
      </c>
      <c r="B2" s="79" t="s">
        <v>62</v>
      </c>
      <c r="C2" s="79" t="s">
        <v>63</v>
      </c>
      <c r="D2" s="80" t="s">
        <v>64</v>
      </c>
      <c r="E2" s="83" t="s">
        <v>65</v>
      </c>
      <c r="F2" s="85" t="s">
        <v>66</v>
      </c>
      <c r="G2" s="79" t="s">
        <v>67</v>
      </c>
      <c r="H2" s="79" t="s">
        <v>68</v>
      </c>
      <c r="I2" s="81" t="s">
        <v>68</v>
      </c>
      <c r="J2" s="81"/>
      <c r="K2" s="131"/>
      <c r="L2" s="131"/>
      <c r="M2" s="84" t="s">
        <v>66</v>
      </c>
      <c r="N2" s="87"/>
      <c r="O2" s="86"/>
      <c r="P2" s="148"/>
      <c r="Q2" s="319" t="s">
        <v>69</v>
      </c>
      <c r="R2" s="82"/>
      <c r="S2" s="82" t="s">
        <v>70</v>
      </c>
      <c r="T2" s="82" t="s">
        <v>71</v>
      </c>
      <c r="U2" s="82" t="s">
        <v>72</v>
      </c>
      <c r="V2" s="82" t="s">
        <v>73</v>
      </c>
    </row>
    <row r="3" spans="1:23">
      <c r="A3" s="79" t="s">
        <v>61</v>
      </c>
      <c r="B3" s="113" t="s">
        <v>74</v>
      </c>
      <c r="C3" s="79" t="s">
        <v>75</v>
      </c>
      <c r="D3" s="114" t="s">
        <v>76</v>
      </c>
      <c r="E3" s="83" t="s">
        <v>65</v>
      </c>
      <c r="F3" s="85" t="s">
        <v>77</v>
      </c>
      <c r="G3" s="79" t="s">
        <v>67</v>
      </c>
      <c r="H3" s="115" t="s">
        <v>78</v>
      </c>
      <c r="I3" s="116" t="s">
        <v>78</v>
      </c>
      <c r="J3" s="81"/>
      <c r="K3" s="131"/>
      <c r="L3" s="131"/>
      <c r="M3" s="84" t="s">
        <v>77</v>
      </c>
      <c r="N3" s="87"/>
      <c r="O3" s="86"/>
      <c r="P3" s="148"/>
      <c r="Q3" s="319" t="s">
        <v>69</v>
      </c>
      <c r="R3" s="82"/>
      <c r="S3" s="82" t="s">
        <v>70</v>
      </c>
      <c r="T3" s="82" t="s">
        <v>79</v>
      </c>
      <c r="U3" s="82" t="s">
        <v>72</v>
      </c>
      <c r="V3" s="82" t="s">
        <v>80</v>
      </c>
    </row>
    <row r="4" spans="1:23">
      <c r="A4" s="79" t="s">
        <v>61</v>
      </c>
      <c r="B4" s="79" t="s">
        <v>81</v>
      </c>
      <c r="C4" s="79" t="s">
        <v>82</v>
      </c>
      <c r="D4" s="80" t="s">
        <v>83</v>
      </c>
      <c r="E4" s="83" t="s">
        <v>65</v>
      </c>
      <c r="F4" s="85" t="s">
        <v>77</v>
      </c>
      <c r="G4" s="79" t="s">
        <v>67</v>
      </c>
      <c r="H4" s="115" t="s">
        <v>78</v>
      </c>
      <c r="I4" s="81" t="s">
        <v>78</v>
      </c>
      <c r="J4" s="81" t="s">
        <v>7</v>
      </c>
      <c r="K4" s="131"/>
      <c r="L4" s="131"/>
      <c r="M4" s="84" t="s">
        <v>77</v>
      </c>
      <c r="N4" s="87"/>
      <c r="O4" s="86"/>
      <c r="P4" s="148"/>
      <c r="Q4" s="319" t="s">
        <v>77</v>
      </c>
      <c r="R4" s="82"/>
      <c r="S4" s="82" t="s">
        <v>70</v>
      </c>
      <c r="T4" s="82" t="s">
        <v>79</v>
      </c>
      <c r="U4" s="82" t="s">
        <v>84</v>
      </c>
      <c r="V4" s="82" t="s">
        <v>73</v>
      </c>
    </row>
    <row r="5" spans="1:23">
      <c r="A5" s="79" t="s">
        <v>61</v>
      </c>
      <c r="B5" s="79" t="s">
        <v>85</v>
      </c>
      <c r="C5" s="79" t="s">
        <v>86</v>
      </c>
      <c r="D5" s="80" t="s">
        <v>87</v>
      </c>
      <c r="E5" s="83" t="s">
        <v>65</v>
      </c>
      <c r="F5" s="85" t="s">
        <v>88</v>
      </c>
      <c r="G5" s="79" t="s">
        <v>67</v>
      </c>
      <c r="H5" s="79" t="s">
        <v>78</v>
      </c>
      <c r="I5" s="81" t="s">
        <v>78</v>
      </c>
      <c r="J5" s="81" t="s">
        <v>7</v>
      </c>
      <c r="K5" s="131"/>
      <c r="L5" s="131"/>
      <c r="M5" s="84" t="s">
        <v>88</v>
      </c>
      <c r="N5" s="87"/>
      <c r="O5" s="86"/>
      <c r="P5" s="148"/>
      <c r="Q5" s="319" t="s">
        <v>89</v>
      </c>
      <c r="R5" s="82"/>
      <c r="S5" s="82" t="s">
        <v>70</v>
      </c>
      <c r="T5" s="82" t="s">
        <v>79</v>
      </c>
      <c r="U5" s="82" t="s">
        <v>72</v>
      </c>
      <c r="V5" s="82" t="s">
        <v>80</v>
      </c>
    </row>
    <row r="6" spans="1:23">
      <c r="A6" s="79" t="s">
        <v>61</v>
      </c>
      <c r="B6" s="79" t="s">
        <v>90</v>
      </c>
      <c r="C6" s="79" t="s">
        <v>91</v>
      </c>
      <c r="D6" s="80" t="s">
        <v>92</v>
      </c>
      <c r="E6" s="83" t="s">
        <v>65</v>
      </c>
      <c r="F6" s="85" t="s">
        <v>66</v>
      </c>
      <c r="G6" s="79" t="s">
        <v>67</v>
      </c>
      <c r="H6" s="79" t="s">
        <v>78</v>
      </c>
      <c r="I6" s="81" t="s">
        <v>93</v>
      </c>
      <c r="J6" s="81" t="s">
        <v>7</v>
      </c>
      <c r="K6" s="131"/>
      <c r="L6" s="131"/>
      <c r="M6" s="84" t="s">
        <v>66</v>
      </c>
      <c r="N6" s="87"/>
      <c r="O6" s="86"/>
      <c r="P6" s="148"/>
      <c r="Q6" s="319" t="s">
        <v>94</v>
      </c>
      <c r="R6" s="82"/>
      <c r="S6" s="82" t="s">
        <v>70</v>
      </c>
      <c r="T6" s="82" t="s">
        <v>79</v>
      </c>
      <c r="U6" s="82" t="s">
        <v>84</v>
      </c>
      <c r="V6" s="82" t="s">
        <v>73</v>
      </c>
    </row>
    <row r="7" spans="1:23">
      <c r="A7" s="79" t="s">
        <v>61</v>
      </c>
      <c r="B7" s="79" t="s">
        <v>95</v>
      </c>
      <c r="C7" s="79" t="s">
        <v>96</v>
      </c>
      <c r="D7" s="80" t="s">
        <v>97</v>
      </c>
      <c r="E7" s="83" t="s">
        <v>65</v>
      </c>
      <c r="F7" s="85" t="s">
        <v>77</v>
      </c>
      <c r="G7" s="79" t="s">
        <v>67</v>
      </c>
      <c r="H7" s="79" t="s">
        <v>78</v>
      </c>
      <c r="I7" s="81" t="s">
        <v>78</v>
      </c>
      <c r="J7" s="81" t="s">
        <v>7</v>
      </c>
      <c r="K7" s="131"/>
      <c r="L7" s="131"/>
      <c r="M7" s="84" t="s">
        <v>77</v>
      </c>
      <c r="N7" s="87"/>
      <c r="O7" s="86"/>
      <c r="P7" s="148"/>
      <c r="Q7" s="319" t="s">
        <v>69</v>
      </c>
      <c r="R7" s="82"/>
      <c r="S7" s="82" t="s">
        <v>70</v>
      </c>
      <c r="T7" s="82" t="s">
        <v>79</v>
      </c>
      <c r="U7" s="82" t="s">
        <v>72</v>
      </c>
      <c r="V7" s="82" t="s">
        <v>80</v>
      </c>
    </row>
    <row r="8" spans="1:23">
      <c r="A8" s="79" t="s">
        <v>61</v>
      </c>
      <c r="B8" s="79" t="s">
        <v>98</v>
      </c>
      <c r="C8" s="79" t="s">
        <v>99</v>
      </c>
      <c r="D8" s="80" t="s">
        <v>100</v>
      </c>
      <c r="E8" s="83" t="s">
        <v>65</v>
      </c>
      <c r="F8" s="85" t="s">
        <v>66</v>
      </c>
      <c r="G8" s="79" t="s">
        <v>67</v>
      </c>
      <c r="H8" s="115" t="s">
        <v>78</v>
      </c>
      <c r="I8" s="81" t="s">
        <v>78</v>
      </c>
      <c r="J8" s="81" t="s">
        <v>1</v>
      </c>
      <c r="K8" s="131"/>
      <c r="L8" s="130"/>
      <c r="M8" s="84" t="s">
        <v>66</v>
      </c>
      <c r="N8" s="87">
        <v>46111</v>
      </c>
      <c r="O8" s="86">
        <v>46113</v>
      </c>
      <c r="P8" s="148"/>
      <c r="Q8" s="319" t="s">
        <v>94</v>
      </c>
      <c r="R8" s="82"/>
      <c r="S8" s="82" t="s">
        <v>70</v>
      </c>
      <c r="T8" s="82" t="s">
        <v>79</v>
      </c>
      <c r="U8" s="82" t="s">
        <v>72</v>
      </c>
      <c r="V8" s="82" t="s">
        <v>80</v>
      </c>
    </row>
    <row r="9" spans="1:23">
      <c r="A9" s="79" t="s">
        <v>61</v>
      </c>
      <c r="B9" s="79" t="s">
        <v>101</v>
      </c>
      <c r="C9" s="79" t="s">
        <v>102</v>
      </c>
      <c r="D9" s="80" t="s">
        <v>103</v>
      </c>
      <c r="E9" s="83" t="s">
        <v>65</v>
      </c>
      <c r="F9" s="85" t="s">
        <v>66</v>
      </c>
      <c r="G9" s="79" t="s">
        <v>67</v>
      </c>
      <c r="H9" s="79" t="s">
        <v>93</v>
      </c>
      <c r="I9" s="81" t="s">
        <v>78</v>
      </c>
      <c r="J9" s="81" t="s">
        <v>7</v>
      </c>
      <c r="K9" s="131"/>
      <c r="L9" s="131"/>
      <c r="M9" s="84" t="s">
        <v>66</v>
      </c>
      <c r="N9" s="87"/>
      <c r="O9" s="86"/>
      <c r="P9" s="148"/>
      <c r="Q9" s="319" t="s">
        <v>94</v>
      </c>
      <c r="R9" s="82"/>
      <c r="S9" s="82" t="s">
        <v>70</v>
      </c>
      <c r="T9" s="82" t="s">
        <v>104</v>
      </c>
      <c r="U9" s="82" t="s">
        <v>72</v>
      </c>
      <c r="V9" s="82" t="s">
        <v>80</v>
      </c>
    </row>
    <row r="10" spans="1:23">
      <c r="A10" s="79" t="s">
        <v>61</v>
      </c>
      <c r="B10" s="79" t="s">
        <v>105</v>
      </c>
      <c r="C10" s="79" t="s">
        <v>106</v>
      </c>
      <c r="D10" s="80" t="s">
        <v>107</v>
      </c>
      <c r="E10" s="83" t="s">
        <v>65</v>
      </c>
      <c r="F10" s="85" t="s">
        <v>66</v>
      </c>
      <c r="G10" s="79" t="s">
        <v>67</v>
      </c>
      <c r="H10" s="79" t="s">
        <v>93</v>
      </c>
      <c r="I10" s="81" t="s">
        <v>93</v>
      </c>
      <c r="J10" s="81"/>
      <c r="K10" s="131"/>
      <c r="L10" s="131"/>
      <c r="M10" s="84" t="s">
        <v>66</v>
      </c>
      <c r="N10" s="87"/>
      <c r="O10" s="86"/>
      <c r="P10" s="148"/>
      <c r="Q10" s="319" t="s">
        <v>69</v>
      </c>
      <c r="R10" s="82"/>
      <c r="S10" s="82" t="s">
        <v>70</v>
      </c>
      <c r="T10" s="82" t="s">
        <v>104</v>
      </c>
      <c r="U10" s="82" t="s">
        <v>84</v>
      </c>
      <c r="V10" s="82" t="s">
        <v>73</v>
      </c>
    </row>
    <row r="11" spans="1:23">
      <c r="A11" s="79" t="s">
        <v>61</v>
      </c>
      <c r="B11" s="79" t="s">
        <v>108</v>
      </c>
      <c r="C11" s="79" t="s">
        <v>109</v>
      </c>
      <c r="D11" s="80" t="s">
        <v>110</v>
      </c>
      <c r="E11" s="83" t="s">
        <v>65</v>
      </c>
      <c r="F11" s="85" t="s">
        <v>66</v>
      </c>
      <c r="G11" s="79" t="s">
        <v>67</v>
      </c>
      <c r="H11" s="79" t="s">
        <v>78</v>
      </c>
      <c r="I11" s="81" t="s">
        <v>78</v>
      </c>
      <c r="J11" s="81"/>
      <c r="K11" s="131"/>
      <c r="L11" s="131"/>
      <c r="M11" s="84" t="s">
        <v>66</v>
      </c>
      <c r="N11" s="87"/>
      <c r="O11" s="86"/>
      <c r="P11" s="148"/>
      <c r="Q11" s="319" t="s">
        <v>69</v>
      </c>
      <c r="R11" s="82"/>
      <c r="S11" s="82" t="s">
        <v>70</v>
      </c>
      <c r="T11" s="82" t="s">
        <v>79</v>
      </c>
      <c r="U11" s="82" t="s">
        <v>72</v>
      </c>
      <c r="V11" s="82" t="s">
        <v>80</v>
      </c>
    </row>
    <row r="12" spans="1:23">
      <c r="A12" s="79" t="s">
        <v>61</v>
      </c>
      <c r="B12" s="79" t="s">
        <v>111</v>
      </c>
      <c r="C12" s="79" t="s">
        <v>112</v>
      </c>
      <c r="D12" s="80" t="s">
        <v>113</v>
      </c>
      <c r="E12" s="83" t="s">
        <v>65</v>
      </c>
      <c r="F12" s="85" t="s">
        <v>77</v>
      </c>
      <c r="G12" s="79" t="s">
        <v>67</v>
      </c>
      <c r="H12" s="79" t="s">
        <v>93</v>
      </c>
      <c r="I12" s="81" t="s">
        <v>93</v>
      </c>
      <c r="J12" s="81" t="s">
        <v>7</v>
      </c>
      <c r="K12" s="131"/>
      <c r="L12" s="131"/>
      <c r="M12" s="84" t="s">
        <v>77</v>
      </c>
      <c r="N12" s="87"/>
      <c r="O12" s="86"/>
      <c r="P12" s="148"/>
      <c r="Q12" s="319" t="s">
        <v>77</v>
      </c>
      <c r="R12" s="82"/>
      <c r="S12" s="82" t="s">
        <v>70</v>
      </c>
      <c r="T12" s="82" t="s">
        <v>104</v>
      </c>
      <c r="U12" s="82" t="s">
        <v>84</v>
      </c>
      <c r="V12" s="82" t="s">
        <v>73</v>
      </c>
    </row>
    <row r="13" spans="1:23">
      <c r="A13" s="79" t="s">
        <v>61</v>
      </c>
      <c r="B13" s="79" t="s">
        <v>114</v>
      </c>
      <c r="C13" s="79" t="s">
        <v>115</v>
      </c>
      <c r="D13" s="80" t="s">
        <v>116</v>
      </c>
      <c r="E13" s="83" t="s">
        <v>65</v>
      </c>
      <c r="F13" s="85" t="s">
        <v>66</v>
      </c>
      <c r="G13" s="79" t="s">
        <v>117</v>
      </c>
      <c r="H13" s="79" t="s">
        <v>118</v>
      </c>
      <c r="I13" s="81" t="s">
        <v>118</v>
      </c>
      <c r="J13" s="81"/>
      <c r="K13" s="131"/>
      <c r="L13" s="131"/>
      <c r="M13" s="84" t="s">
        <v>66</v>
      </c>
      <c r="N13" s="87"/>
      <c r="O13" s="86"/>
      <c r="P13" s="148"/>
      <c r="Q13" s="319" t="s">
        <v>94</v>
      </c>
      <c r="R13" s="82"/>
      <c r="S13" s="82" t="s">
        <v>119</v>
      </c>
      <c r="T13" s="82" t="s">
        <v>120</v>
      </c>
      <c r="U13" s="82" t="s">
        <v>72</v>
      </c>
      <c r="V13" s="82" t="s">
        <v>80</v>
      </c>
    </row>
    <row r="14" spans="1:23">
      <c r="A14" s="79" t="s">
        <v>61</v>
      </c>
      <c r="B14" s="79" t="s">
        <v>121</v>
      </c>
      <c r="C14" s="156" t="s">
        <v>122</v>
      </c>
      <c r="D14" s="80" t="s">
        <v>123</v>
      </c>
      <c r="E14" s="83" t="s">
        <v>65</v>
      </c>
      <c r="F14" s="85" t="s">
        <v>66</v>
      </c>
      <c r="G14" s="79" t="s">
        <v>117</v>
      </c>
      <c r="H14" s="79" t="s">
        <v>118</v>
      </c>
      <c r="I14" s="81" t="s">
        <v>118</v>
      </c>
      <c r="J14" s="81"/>
      <c r="K14" s="131"/>
      <c r="L14" s="131"/>
      <c r="M14" s="84" t="s">
        <v>66</v>
      </c>
      <c r="N14" s="87"/>
      <c r="O14" s="86"/>
      <c r="P14" s="148"/>
      <c r="Q14" s="319" t="s">
        <v>94</v>
      </c>
      <c r="R14" s="82"/>
      <c r="S14" s="82" t="s">
        <v>119</v>
      </c>
      <c r="T14" s="82" t="s">
        <v>124</v>
      </c>
      <c r="U14" s="82" t="s">
        <v>84</v>
      </c>
      <c r="V14" s="82" t="s">
        <v>73</v>
      </c>
    </row>
    <row r="15" spans="1:23">
      <c r="A15" s="79" t="s">
        <v>61</v>
      </c>
      <c r="B15" s="257" t="s">
        <v>125</v>
      </c>
      <c r="C15" s="257" t="s">
        <v>126</v>
      </c>
      <c r="D15" s="256" t="s">
        <v>127</v>
      </c>
      <c r="E15" s="83" t="s">
        <v>65</v>
      </c>
      <c r="F15" s="85" t="s">
        <v>66</v>
      </c>
      <c r="G15" s="79" t="s">
        <v>117</v>
      </c>
      <c r="H15" s="79" t="s">
        <v>118</v>
      </c>
      <c r="I15" s="81" t="s">
        <v>118</v>
      </c>
      <c r="J15" s="81" t="s">
        <v>7</v>
      </c>
      <c r="K15" s="131"/>
      <c r="L15" s="131"/>
      <c r="M15" s="84" t="s">
        <v>77</v>
      </c>
      <c r="N15" s="87"/>
      <c r="O15" s="86"/>
      <c r="P15" s="148" t="s">
        <v>128</v>
      </c>
      <c r="Q15" s="319" t="s">
        <v>94</v>
      </c>
      <c r="R15" s="82"/>
      <c r="S15" s="82" t="s">
        <v>119</v>
      </c>
      <c r="T15" s="82" t="s">
        <v>129</v>
      </c>
      <c r="U15" s="82" t="s">
        <v>84</v>
      </c>
      <c r="V15" s="82" t="s">
        <v>73</v>
      </c>
    </row>
    <row r="16" spans="1:23">
      <c r="A16" s="79" t="s">
        <v>61</v>
      </c>
      <c r="B16" s="79" t="s">
        <v>130</v>
      </c>
      <c r="C16" s="79" t="s">
        <v>131</v>
      </c>
      <c r="D16" s="80" t="s">
        <v>132</v>
      </c>
      <c r="E16" s="83" t="s">
        <v>65</v>
      </c>
      <c r="F16" s="85" t="s">
        <v>66</v>
      </c>
      <c r="G16" s="79" t="s">
        <v>117</v>
      </c>
      <c r="H16" s="79" t="s">
        <v>118</v>
      </c>
      <c r="I16" s="81" t="s">
        <v>118</v>
      </c>
      <c r="J16" s="81" t="s">
        <v>7</v>
      </c>
      <c r="K16" s="131"/>
      <c r="L16" s="131"/>
      <c r="M16" s="84" t="s">
        <v>77</v>
      </c>
      <c r="N16" s="87"/>
      <c r="O16" s="86"/>
      <c r="P16" s="148"/>
      <c r="Q16" s="319" t="s">
        <v>94</v>
      </c>
      <c r="R16" s="82"/>
      <c r="S16" s="82" t="s">
        <v>119</v>
      </c>
      <c r="T16" s="82" t="s">
        <v>133</v>
      </c>
      <c r="U16" s="82" t="s">
        <v>84</v>
      </c>
      <c r="V16" s="82" t="s">
        <v>73</v>
      </c>
    </row>
    <row r="17" spans="1:22">
      <c r="A17" s="79" t="s">
        <v>61</v>
      </c>
      <c r="B17" s="113" t="s">
        <v>134</v>
      </c>
      <c r="C17" s="79" t="s">
        <v>135</v>
      </c>
      <c r="D17" s="114" t="s">
        <v>136</v>
      </c>
      <c r="E17" s="83" t="s">
        <v>65</v>
      </c>
      <c r="F17" s="85" t="s">
        <v>66</v>
      </c>
      <c r="G17" s="79" t="s">
        <v>117</v>
      </c>
      <c r="H17" s="203" t="s">
        <v>137</v>
      </c>
      <c r="I17" s="205" t="s">
        <v>137</v>
      </c>
      <c r="J17" s="81"/>
      <c r="K17" s="131"/>
      <c r="L17" s="131"/>
      <c r="M17" s="84" t="s">
        <v>66</v>
      </c>
      <c r="N17" s="87"/>
      <c r="O17" s="86"/>
      <c r="P17" s="148"/>
      <c r="Q17" s="319" t="s">
        <v>69</v>
      </c>
      <c r="R17" s="82"/>
      <c r="S17" s="82" t="s">
        <v>119</v>
      </c>
      <c r="T17" s="82" t="s">
        <v>133</v>
      </c>
      <c r="U17" s="82" t="s">
        <v>72</v>
      </c>
      <c r="V17" s="82" t="s">
        <v>80</v>
      </c>
    </row>
    <row r="18" spans="1:22">
      <c r="A18" s="79" t="s">
        <v>61</v>
      </c>
      <c r="B18" s="232">
        <v>2</v>
      </c>
      <c r="C18" s="113" t="s">
        <v>138</v>
      </c>
      <c r="D18" s="114" t="s">
        <v>139</v>
      </c>
      <c r="E18" s="83" t="s">
        <v>65</v>
      </c>
      <c r="F18" s="85" t="s">
        <v>66</v>
      </c>
      <c r="G18" s="79" t="s">
        <v>117</v>
      </c>
      <c r="H18" s="203" t="s">
        <v>137</v>
      </c>
      <c r="I18" s="205" t="s">
        <v>137</v>
      </c>
      <c r="J18" s="81"/>
      <c r="K18" s="131"/>
      <c r="L18" s="131"/>
      <c r="M18" s="84" t="s">
        <v>77</v>
      </c>
      <c r="N18" s="87"/>
      <c r="O18" s="86"/>
      <c r="P18" s="148"/>
      <c r="Q18" s="319" t="s">
        <v>69</v>
      </c>
      <c r="R18" s="82"/>
      <c r="S18" s="82" t="s">
        <v>119</v>
      </c>
      <c r="T18" s="82" t="s">
        <v>120</v>
      </c>
      <c r="U18" s="82" t="s">
        <v>84</v>
      </c>
      <c r="V18" s="82" t="s">
        <v>73</v>
      </c>
    </row>
    <row r="19" spans="1:22">
      <c r="A19" s="79" t="s">
        <v>61</v>
      </c>
      <c r="B19" s="79" t="s">
        <v>140</v>
      </c>
      <c r="C19" s="79" t="s">
        <v>141</v>
      </c>
      <c r="D19" s="80" t="s">
        <v>142</v>
      </c>
      <c r="E19" s="83" t="s">
        <v>65</v>
      </c>
      <c r="F19" s="85" t="s">
        <v>66</v>
      </c>
      <c r="G19" s="79" t="s">
        <v>117</v>
      </c>
      <c r="H19" s="203" t="s">
        <v>137</v>
      </c>
      <c r="I19" s="81" t="s">
        <v>143</v>
      </c>
      <c r="J19" s="81"/>
      <c r="K19" s="131"/>
      <c r="L19" s="131"/>
      <c r="M19" s="84" t="s">
        <v>66</v>
      </c>
      <c r="N19" s="87"/>
      <c r="O19" s="86"/>
      <c r="P19" s="148"/>
      <c r="Q19" s="319" t="s">
        <v>89</v>
      </c>
      <c r="R19" s="82"/>
      <c r="S19" s="82" t="s">
        <v>119</v>
      </c>
      <c r="T19" s="82" t="s">
        <v>133</v>
      </c>
      <c r="U19" s="82" t="s">
        <v>84</v>
      </c>
      <c r="V19" s="82" t="s">
        <v>73</v>
      </c>
    </row>
    <row r="20" spans="1:22">
      <c r="A20" s="79" t="s">
        <v>61</v>
      </c>
      <c r="B20" s="79" t="s">
        <v>144</v>
      </c>
      <c r="C20" s="79" t="s">
        <v>145</v>
      </c>
      <c r="D20" s="80" t="s">
        <v>146</v>
      </c>
      <c r="E20" s="83" t="s">
        <v>65</v>
      </c>
      <c r="F20" s="85" t="s">
        <v>66</v>
      </c>
      <c r="G20" s="79" t="s">
        <v>117</v>
      </c>
      <c r="H20" s="203" t="s">
        <v>137</v>
      </c>
      <c r="I20" s="81" t="s">
        <v>137</v>
      </c>
      <c r="J20" s="81" t="s">
        <v>7</v>
      </c>
      <c r="K20" s="131"/>
      <c r="L20" s="131"/>
      <c r="M20" s="84" t="s">
        <v>66</v>
      </c>
      <c r="N20" s="87">
        <v>46123</v>
      </c>
      <c r="O20" s="86"/>
      <c r="P20" s="148" t="s">
        <v>147</v>
      </c>
      <c r="Q20" s="319" t="s">
        <v>94</v>
      </c>
      <c r="R20" s="82"/>
      <c r="S20" s="82" t="s">
        <v>119</v>
      </c>
      <c r="T20" s="82" t="s">
        <v>133</v>
      </c>
      <c r="U20" s="82" t="s">
        <v>72</v>
      </c>
      <c r="V20" s="82" t="s">
        <v>80</v>
      </c>
    </row>
    <row r="21" spans="1:22">
      <c r="A21" s="79" t="s">
        <v>61</v>
      </c>
      <c r="B21" s="79" t="s">
        <v>148</v>
      </c>
      <c r="C21" s="79" t="s">
        <v>149</v>
      </c>
      <c r="D21" s="80" t="s">
        <v>150</v>
      </c>
      <c r="E21" s="83" t="s">
        <v>65</v>
      </c>
      <c r="F21" s="85" t="s">
        <v>66</v>
      </c>
      <c r="G21" s="79" t="s">
        <v>117</v>
      </c>
      <c r="H21" s="203" t="s">
        <v>137</v>
      </c>
      <c r="I21" s="81" t="s">
        <v>137</v>
      </c>
      <c r="J21" s="81" t="s">
        <v>7</v>
      </c>
      <c r="K21" s="131"/>
      <c r="L21" s="131"/>
      <c r="M21" s="84" t="s">
        <v>66</v>
      </c>
      <c r="N21" s="87"/>
      <c r="O21" s="86"/>
      <c r="P21" s="148"/>
      <c r="Q21" s="319" t="s">
        <v>94</v>
      </c>
      <c r="R21" s="82"/>
      <c r="S21" s="82" t="s">
        <v>119</v>
      </c>
      <c r="T21" s="82" t="s">
        <v>133</v>
      </c>
      <c r="U21" s="82" t="s">
        <v>84</v>
      </c>
      <c r="V21" s="82" t="s">
        <v>73</v>
      </c>
    </row>
    <row r="22" spans="1:22">
      <c r="A22" s="79" t="s">
        <v>61</v>
      </c>
      <c r="B22" s="113" t="s">
        <v>151</v>
      </c>
      <c r="C22" s="259" t="s">
        <v>152</v>
      </c>
      <c r="D22" s="114" t="s">
        <v>153</v>
      </c>
      <c r="E22" s="83" t="s">
        <v>65</v>
      </c>
      <c r="F22" s="85" t="s">
        <v>66</v>
      </c>
      <c r="G22" s="79" t="s">
        <v>117</v>
      </c>
      <c r="H22" s="203" t="s">
        <v>137</v>
      </c>
      <c r="I22" s="205" t="s">
        <v>137</v>
      </c>
      <c r="J22" s="81"/>
      <c r="K22" s="131"/>
      <c r="L22" s="131"/>
      <c r="M22" s="84" t="s">
        <v>77</v>
      </c>
      <c r="N22" s="87"/>
      <c r="O22" s="86"/>
      <c r="P22" s="148"/>
      <c r="Q22" s="319" t="s">
        <v>89</v>
      </c>
      <c r="R22" s="82"/>
      <c r="S22" s="82" t="s">
        <v>119</v>
      </c>
      <c r="T22" s="82" t="s">
        <v>133</v>
      </c>
      <c r="U22" s="82" t="s">
        <v>72</v>
      </c>
      <c r="V22" s="82" t="s">
        <v>80</v>
      </c>
    </row>
    <row r="23" spans="1:22">
      <c r="A23" s="79" t="s">
        <v>61</v>
      </c>
      <c r="B23" s="113" t="s">
        <v>154</v>
      </c>
      <c r="C23" s="259" t="s">
        <v>155</v>
      </c>
      <c r="D23" s="114" t="s">
        <v>156</v>
      </c>
      <c r="E23" s="83" t="s">
        <v>65</v>
      </c>
      <c r="F23" s="85" t="s">
        <v>77</v>
      </c>
      <c r="G23" s="79" t="s">
        <v>117</v>
      </c>
      <c r="H23" s="203" t="s">
        <v>137</v>
      </c>
      <c r="I23" s="116" t="s">
        <v>137</v>
      </c>
      <c r="J23" s="81"/>
      <c r="K23" s="131"/>
      <c r="L23" s="131"/>
      <c r="M23" s="84" t="s">
        <v>77</v>
      </c>
      <c r="N23" s="87"/>
      <c r="O23" s="86"/>
      <c r="P23" s="148"/>
      <c r="Q23" s="319" t="s">
        <v>77</v>
      </c>
      <c r="R23" s="82"/>
      <c r="S23" s="82" t="s">
        <v>119</v>
      </c>
      <c r="T23" s="82" t="s">
        <v>120</v>
      </c>
      <c r="U23" s="82" t="s">
        <v>72</v>
      </c>
      <c r="V23" s="82" t="s">
        <v>80</v>
      </c>
    </row>
    <row r="24" spans="1:22">
      <c r="A24" s="79" t="s">
        <v>61</v>
      </c>
      <c r="B24" s="113" t="s">
        <v>157</v>
      </c>
      <c r="C24" s="79" t="s">
        <v>157</v>
      </c>
      <c r="D24" s="114" t="s">
        <v>158</v>
      </c>
      <c r="E24" s="83" t="s">
        <v>65</v>
      </c>
      <c r="F24" s="85" t="s">
        <v>66</v>
      </c>
      <c r="G24" s="79" t="s">
        <v>117</v>
      </c>
      <c r="H24" s="203" t="s">
        <v>137</v>
      </c>
      <c r="I24" s="116" t="s">
        <v>137</v>
      </c>
      <c r="J24" s="81"/>
      <c r="K24" s="132"/>
      <c r="L24" s="132"/>
      <c r="M24" s="84" t="s">
        <v>66</v>
      </c>
      <c r="N24" s="87"/>
      <c r="O24" s="86"/>
      <c r="P24" s="148" t="s">
        <v>159</v>
      </c>
      <c r="Q24" s="319" t="s">
        <v>69</v>
      </c>
      <c r="R24" s="82"/>
      <c r="S24" s="82" t="s">
        <v>119</v>
      </c>
      <c r="T24" s="82" t="s">
        <v>133</v>
      </c>
      <c r="U24" s="82" t="s">
        <v>84</v>
      </c>
      <c r="V24" s="82" t="s">
        <v>73</v>
      </c>
    </row>
    <row r="25" spans="1:22">
      <c r="A25" s="79" t="s">
        <v>61</v>
      </c>
      <c r="B25" s="79" t="s">
        <v>160</v>
      </c>
      <c r="C25" s="79" t="s">
        <v>161</v>
      </c>
      <c r="D25" s="80" t="s">
        <v>162</v>
      </c>
      <c r="E25" s="83" t="s">
        <v>65</v>
      </c>
      <c r="F25" s="85" t="s">
        <v>66</v>
      </c>
      <c r="G25" s="79" t="s">
        <v>117</v>
      </c>
      <c r="H25" s="79" t="s">
        <v>163</v>
      </c>
      <c r="I25" s="81" t="s">
        <v>163</v>
      </c>
      <c r="J25" s="81"/>
      <c r="K25" s="131"/>
      <c r="L25" s="131"/>
      <c r="M25" s="84" t="s">
        <v>66</v>
      </c>
      <c r="N25" s="87"/>
      <c r="O25" s="86"/>
      <c r="P25" s="148"/>
      <c r="Q25" s="319" t="s">
        <v>94</v>
      </c>
      <c r="R25" s="82"/>
      <c r="S25" s="82" t="s">
        <v>119</v>
      </c>
      <c r="T25" s="82" t="s">
        <v>164</v>
      </c>
      <c r="U25" s="82" t="s">
        <v>72</v>
      </c>
      <c r="V25" s="82" t="s">
        <v>73</v>
      </c>
    </row>
    <row r="26" spans="1:22">
      <c r="A26" s="79" t="s">
        <v>61</v>
      </c>
      <c r="B26" s="79" t="s">
        <v>165</v>
      </c>
      <c r="C26" s="79" t="s">
        <v>166</v>
      </c>
      <c r="D26" s="80" t="s">
        <v>167</v>
      </c>
      <c r="E26" s="83" t="s">
        <v>65</v>
      </c>
      <c r="F26" s="85" t="s">
        <v>66</v>
      </c>
      <c r="G26" s="79" t="s">
        <v>117</v>
      </c>
      <c r="H26" s="79" t="s">
        <v>163</v>
      </c>
      <c r="I26" s="81" t="s">
        <v>163</v>
      </c>
      <c r="J26" s="81" t="s">
        <v>7</v>
      </c>
      <c r="K26" s="131"/>
      <c r="L26" s="131"/>
      <c r="M26" s="84" t="s">
        <v>77</v>
      </c>
      <c r="N26" s="87"/>
      <c r="O26" s="86"/>
      <c r="P26" s="148" t="s">
        <v>168</v>
      </c>
      <c r="Q26" s="319" t="s">
        <v>94</v>
      </c>
      <c r="R26" s="82"/>
      <c r="S26" s="82" t="s">
        <v>119</v>
      </c>
      <c r="T26" s="82" t="s">
        <v>164</v>
      </c>
      <c r="U26" s="82" t="s">
        <v>84</v>
      </c>
      <c r="V26" s="82" t="s">
        <v>73</v>
      </c>
    </row>
    <row r="27" spans="1:22">
      <c r="A27" s="79" t="s">
        <v>61</v>
      </c>
      <c r="B27" s="79" t="s">
        <v>169</v>
      </c>
      <c r="C27" s="79" t="s">
        <v>170</v>
      </c>
      <c r="D27" s="80" t="s">
        <v>171</v>
      </c>
      <c r="E27" s="83" t="s">
        <v>65</v>
      </c>
      <c r="F27" s="85" t="s">
        <v>66</v>
      </c>
      <c r="G27" s="79" t="s">
        <v>117</v>
      </c>
      <c r="H27" s="79" t="s">
        <v>163</v>
      </c>
      <c r="I27" s="81" t="s">
        <v>163</v>
      </c>
      <c r="J27" s="81"/>
      <c r="K27" s="131"/>
      <c r="L27" s="131"/>
      <c r="M27" s="84" t="s">
        <v>66</v>
      </c>
      <c r="N27" s="87"/>
      <c r="O27" s="86"/>
      <c r="P27" s="148"/>
      <c r="Q27" s="319" t="s">
        <v>94</v>
      </c>
      <c r="R27" s="82"/>
      <c r="S27" s="82" t="s">
        <v>119</v>
      </c>
      <c r="T27" s="82" t="s">
        <v>164</v>
      </c>
      <c r="U27" s="82" t="s">
        <v>72</v>
      </c>
      <c r="V27" s="82" t="s">
        <v>80</v>
      </c>
    </row>
    <row r="28" spans="1:22">
      <c r="A28" s="79" t="s">
        <v>61</v>
      </c>
      <c r="B28" s="79" t="s">
        <v>172</v>
      </c>
      <c r="C28" s="79" t="s">
        <v>173</v>
      </c>
      <c r="D28" s="80" t="s">
        <v>174</v>
      </c>
      <c r="E28" s="83" t="s">
        <v>65</v>
      </c>
      <c r="F28" s="85" t="s">
        <v>66</v>
      </c>
      <c r="G28" s="79" t="s">
        <v>117</v>
      </c>
      <c r="H28" s="79" t="s">
        <v>163</v>
      </c>
      <c r="I28" s="81" t="s">
        <v>163</v>
      </c>
      <c r="J28" s="81" t="s">
        <v>7</v>
      </c>
      <c r="K28" s="131"/>
      <c r="L28" s="131"/>
      <c r="M28" s="84" t="s">
        <v>66</v>
      </c>
      <c r="N28" s="87"/>
      <c r="O28" s="86"/>
      <c r="P28" s="148" t="s">
        <v>175</v>
      </c>
      <c r="Q28" s="319" t="s">
        <v>69</v>
      </c>
      <c r="R28" s="82"/>
      <c r="S28" s="82" t="s">
        <v>119</v>
      </c>
      <c r="T28" s="82" t="s">
        <v>164</v>
      </c>
      <c r="U28" s="82" t="s">
        <v>72</v>
      </c>
      <c r="V28" s="82" t="s">
        <v>80</v>
      </c>
    </row>
    <row r="29" spans="1:22">
      <c r="A29" s="79" t="s">
        <v>61</v>
      </c>
      <c r="B29" s="79" t="s">
        <v>176</v>
      </c>
      <c r="C29" s="79" t="s">
        <v>177</v>
      </c>
      <c r="D29" s="80" t="s">
        <v>178</v>
      </c>
      <c r="E29" s="83" t="s">
        <v>65</v>
      </c>
      <c r="F29" s="85" t="s">
        <v>66</v>
      </c>
      <c r="G29" s="79" t="s">
        <v>117</v>
      </c>
      <c r="H29" s="79" t="s">
        <v>179</v>
      </c>
      <c r="I29" s="81" t="s">
        <v>179</v>
      </c>
      <c r="J29" s="81"/>
      <c r="K29" s="131"/>
      <c r="L29" s="131"/>
      <c r="M29" s="84" t="s">
        <v>66</v>
      </c>
      <c r="N29" s="87"/>
      <c r="O29" s="86"/>
      <c r="P29" s="148"/>
      <c r="Q29" s="319" t="s">
        <v>94</v>
      </c>
      <c r="R29" s="82"/>
      <c r="S29" s="82" t="s">
        <v>119</v>
      </c>
      <c r="T29" s="82" t="s">
        <v>180</v>
      </c>
      <c r="U29" s="82" t="s">
        <v>84</v>
      </c>
      <c r="V29" s="82" t="s">
        <v>73</v>
      </c>
    </row>
    <row r="30" spans="1:22">
      <c r="A30" s="79" t="s">
        <v>61</v>
      </c>
      <c r="B30" s="79" t="s">
        <v>181</v>
      </c>
      <c r="C30" s="79" t="s">
        <v>182</v>
      </c>
      <c r="D30" s="80" t="s">
        <v>183</v>
      </c>
      <c r="E30" s="83" t="s">
        <v>65</v>
      </c>
      <c r="F30" s="85" t="s">
        <v>66</v>
      </c>
      <c r="G30" s="79" t="s">
        <v>117</v>
      </c>
      <c r="H30" s="79" t="s">
        <v>179</v>
      </c>
      <c r="I30" s="81" t="s">
        <v>179</v>
      </c>
      <c r="J30" s="81" t="s">
        <v>7</v>
      </c>
      <c r="K30" s="131"/>
      <c r="L30" s="131"/>
      <c r="M30" s="84" t="s">
        <v>66</v>
      </c>
      <c r="N30" s="87"/>
      <c r="O30" s="86"/>
      <c r="P30" s="148"/>
      <c r="Q30" s="319" t="s">
        <v>94</v>
      </c>
      <c r="R30" s="82"/>
      <c r="S30" s="82" t="s">
        <v>119</v>
      </c>
      <c r="T30" s="82" t="s">
        <v>184</v>
      </c>
      <c r="U30" s="82" t="s">
        <v>72</v>
      </c>
      <c r="V30" s="82" t="s">
        <v>80</v>
      </c>
    </row>
    <row r="31" spans="1:22">
      <c r="A31" s="79" t="s">
        <v>61</v>
      </c>
      <c r="B31" s="79" t="s">
        <v>185</v>
      </c>
      <c r="C31" s="79" t="s">
        <v>186</v>
      </c>
      <c r="D31" s="80" t="s">
        <v>187</v>
      </c>
      <c r="E31" s="83" t="s">
        <v>65</v>
      </c>
      <c r="F31" s="85" t="s">
        <v>66</v>
      </c>
      <c r="G31" s="79" t="s">
        <v>117</v>
      </c>
      <c r="H31" s="79" t="s">
        <v>188</v>
      </c>
      <c r="I31" s="81" t="s">
        <v>188</v>
      </c>
      <c r="J31" s="81"/>
      <c r="K31" s="131"/>
      <c r="L31" s="131"/>
      <c r="M31" s="84" t="s">
        <v>66</v>
      </c>
      <c r="N31" s="87"/>
      <c r="O31" s="86"/>
      <c r="P31" s="148"/>
      <c r="Q31" s="319" t="s">
        <v>94</v>
      </c>
      <c r="R31" s="82"/>
      <c r="S31" s="82" t="s">
        <v>119</v>
      </c>
      <c r="T31" s="82" t="s">
        <v>164</v>
      </c>
      <c r="U31" s="82" t="s">
        <v>84</v>
      </c>
      <c r="V31" s="82" t="s">
        <v>73</v>
      </c>
    </row>
    <row r="32" spans="1:22">
      <c r="A32" s="79" t="s">
        <v>61</v>
      </c>
      <c r="B32" s="79" t="s">
        <v>189</v>
      </c>
      <c r="C32" s="79" t="s">
        <v>190</v>
      </c>
      <c r="D32" s="80" t="s">
        <v>191</v>
      </c>
      <c r="E32" s="178" t="s">
        <v>192</v>
      </c>
      <c r="F32" s="85" t="s">
        <v>77</v>
      </c>
      <c r="G32" s="79" t="s">
        <v>117</v>
      </c>
      <c r="H32" s="79" t="s">
        <v>179</v>
      </c>
      <c r="I32" s="81" t="s">
        <v>179</v>
      </c>
      <c r="J32" s="139" t="s">
        <v>17</v>
      </c>
      <c r="K32" s="131" t="s">
        <v>17</v>
      </c>
      <c r="L32" s="131" t="s">
        <v>193</v>
      </c>
      <c r="M32" s="84" t="s">
        <v>77</v>
      </c>
      <c r="N32" s="87"/>
      <c r="O32" s="86"/>
      <c r="P32" s="148"/>
      <c r="Q32" s="319" t="s">
        <v>77</v>
      </c>
      <c r="R32" s="82"/>
      <c r="S32" s="82" t="s">
        <v>70</v>
      </c>
      <c r="T32" s="82" t="s">
        <v>184</v>
      </c>
      <c r="U32" s="82" t="s">
        <v>72</v>
      </c>
      <c r="V32" s="82" t="s">
        <v>80</v>
      </c>
    </row>
    <row r="33" spans="1:22">
      <c r="A33" s="79" t="s">
        <v>61</v>
      </c>
      <c r="B33" s="79" t="s">
        <v>194</v>
      </c>
      <c r="C33" s="79" t="s">
        <v>195</v>
      </c>
      <c r="D33" s="80" t="s">
        <v>196</v>
      </c>
      <c r="E33" s="83" t="s">
        <v>65</v>
      </c>
      <c r="F33" s="85" t="s">
        <v>66</v>
      </c>
      <c r="G33" s="79" t="s">
        <v>117</v>
      </c>
      <c r="H33" s="79" t="s">
        <v>163</v>
      </c>
      <c r="I33" s="81" t="s">
        <v>163</v>
      </c>
      <c r="J33" s="81" t="s">
        <v>7</v>
      </c>
      <c r="K33" s="131"/>
      <c r="L33" s="131"/>
      <c r="M33" s="84" t="s">
        <v>66</v>
      </c>
      <c r="N33" s="87"/>
      <c r="O33" s="86"/>
      <c r="P33" s="148"/>
      <c r="Q33" s="319" t="s">
        <v>69</v>
      </c>
      <c r="R33" s="82"/>
      <c r="S33" s="82" t="s">
        <v>119</v>
      </c>
      <c r="T33" s="82" t="s">
        <v>164</v>
      </c>
      <c r="U33" s="82" t="s">
        <v>84</v>
      </c>
      <c r="V33" s="82" t="s">
        <v>73</v>
      </c>
    </row>
    <row r="34" spans="1:22">
      <c r="A34" s="79" t="s">
        <v>61</v>
      </c>
      <c r="B34" s="79" t="s">
        <v>197</v>
      </c>
      <c r="C34" s="79" t="s">
        <v>198</v>
      </c>
      <c r="D34" s="80" t="s">
        <v>199</v>
      </c>
      <c r="E34" s="83" t="s">
        <v>65</v>
      </c>
      <c r="F34" s="85" t="s">
        <v>66</v>
      </c>
      <c r="G34" s="79" t="s">
        <v>117</v>
      </c>
      <c r="H34" s="203" t="s">
        <v>118</v>
      </c>
      <c r="I34" s="81" t="s">
        <v>118</v>
      </c>
      <c r="J34" s="81" t="s">
        <v>7</v>
      </c>
      <c r="K34" s="131"/>
      <c r="L34" s="131"/>
      <c r="M34" s="84" t="s">
        <v>66</v>
      </c>
      <c r="N34" s="87">
        <v>46114</v>
      </c>
      <c r="O34" s="86"/>
      <c r="P34" s="148"/>
      <c r="Q34" s="319" t="s">
        <v>94</v>
      </c>
      <c r="R34" s="82"/>
      <c r="S34" s="82" t="s">
        <v>119</v>
      </c>
      <c r="T34" s="82" t="s">
        <v>124</v>
      </c>
      <c r="U34" s="82" t="s">
        <v>84</v>
      </c>
      <c r="V34" s="82" t="s">
        <v>73</v>
      </c>
    </row>
    <row r="35" spans="1:22">
      <c r="A35" s="79" t="s">
        <v>61</v>
      </c>
      <c r="B35" s="79" t="s">
        <v>200</v>
      </c>
      <c r="C35" s="79" t="s">
        <v>201</v>
      </c>
      <c r="D35" s="80" t="s">
        <v>202</v>
      </c>
      <c r="E35" s="83" t="s">
        <v>65</v>
      </c>
      <c r="F35" s="85" t="s">
        <v>66</v>
      </c>
      <c r="G35" s="79" t="s">
        <v>203</v>
      </c>
      <c r="H35" s="79" t="s">
        <v>204</v>
      </c>
      <c r="I35" s="81" t="s">
        <v>204</v>
      </c>
      <c r="J35" s="81" t="s">
        <v>7</v>
      </c>
      <c r="K35" s="131"/>
      <c r="L35" s="131"/>
      <c r="M35" s="84" t="s">
        <v>66</v>
      </c>
      <c r="N35" s="87"/>
      <c r="O35" s="86"/>
      <c r="P35" s="148"/>
      <c r="Q35" s="319" t="s">
        <v>69</v>
      </c>
      <c r="R35" s="82"/>
      <c r="S35" s="82" t="s">
        <v>70</v>
      </c>
      <c r="T35" s="82" t="s">
        <v>205</v>
      </c>
      <c r="U35" s="82" t="s">
        <v>72</v>
      </c>
      <c r="V35" s="82" t="s">
        <v>80</v>
      </c>
    </row>
    <row r="36" spans="1:22">
      <c r="A36" s="79" t="s">
        <v>61</v>
      </c>
      <c r="B36" s="79" t="s">
        <v>206</v>
      </c>
      <c r="C36" s="79" t="s">
        <v>207</v>
      </c>
      <c r="D36" s="80" t="s">
        <v>208</v>
      </c>
      <c r="E36" s="83" t="s">
        <v>65</v>
      </c>
      <c r="F36" s="85" t="s">
        <v>66</v>
      </c>
      <c r="G36" s="79" t="s">
        <v>203</v>
      </c>
      <c r="H36" s="79" t="s">
        <v>204</v>
      </c>
      <c r="I36" s="81" t="s">
        <v>204</v>
      </c>
      <c r="J36" s="81" t="s">
        <v>7</v>
      </c>
      <c r="K36" s="131"/>
      <c r="L36" s="131"/>
      <c r="M36" s="84" t="s">
        <v>66</v>
      </c>
      <c r="N36" s="87"/>
      <c r="O36" s="86"/>
      <c r="P36" s="148"/>
      <c r="Q36" s="319" t="s">
        <v>77</v>
      </c>
      <c r="R36" s="82"/>
      <c r="S36" s="82" t="s">
        <v>70</v>
      </c>
      <c r="T36" s="82" t="s">
        <v>209</v>
      </c>
      <c r="U36" s="82" t="s">
        <v>84</v>
      </c>
      <c r="V36" s="82" t="s">
        <v>73</v>
      </c>
    </row>
    <row r="37" spans="1:22">
      <c r="A37" s="79" t="s">
        <v>61</v>
      </c>
      <c r="B37" s="79" t="s">
        <v>210</v>
      </c>
      <c r="C37" s="79" t="s">
        <v>211</v>
      </c>
      <c r="D37" s="80" t="s">
        <v>212</v>
      </c>
      <c r="E37" s="83" t="s">
        <v>65</v>
      </c>
      <c r="F37" s="85" t="s">
        <v>66</v>
      </c>
      <c r="G37" s="79" t="s">
        <v>203</v>
      </c>
      <c r="H37" s="79" t="s">
        <v>204</v>
      </c>
      <c r="I37" s="81" t="s">
        <v>204</v>
      </c>
      <c r="J37" s="81"/>
      <c r="K37" s="131"/>
      <c r="L37" s="131"/>
      <c r="M37" s="84" t="s">
        <v>66</v>
      </c>
      <c r="N37" s="87"/>
      <c r="O37" s="86"/>
      <c r="P37" s="148"/>
      <c r="Q37" s="319" t="s">
        <v>89</v>
      </c>
      <c r="R37" s="82"/>
      <c r="S37" s="82" t="s">
        <v>70</v>
      </c>
      <c r="T37" s="82" t="s">
        <v>209</v>
      </c>
      <c r="U37" s="82" t="s">
        <v>84</v>
      </c>
      <c r="V37" s="82" t="s">
        <v>73</v>
      </c>
    </row>
    <row r="38" spans="1:22">
      <c r="A38" s="79" t="s">
        <v>61</v>
      </c>
      <c r="B38" s="79" t="s">
        <v>213</v>
      </c>
      <c r="C38" s="79" t="s">
        <v>214</v>
      </c>
      <c r="D38" s="114" t="s">
        <v>215</v>
      </c>
      <c r="E38" s="83" t="s">
        <v>65</v>
      </c>
      <c r="F38" s="85" t="s">
        <v>66</v>
      </c>
      <c r="G38" s="79" t="s">
        <v>203</v>
      </c>
      <c r="H38" s="203" t="s">
        <v>204</v>
      </c>
      <c r="I38" s="81" t="s">
        <v>204</v>
      </c>
      <c r="J38" s="81" t="s">
        <v>1</v>
      </c>
      <c r="K38" s="131"/>
      <c r="L38" s="131"/>
      <c r="M38" s="84" t="s">
        <v>66</v>
      </c>
      <c r="N38" s="87">
        <v>46127</v>
      </c>
      <c r="O38" s="86">
        <v>46130</v>
      </c>
      <c r="P38" s="148" t="s">
        <v>216</v>
      </c>
      <c r="Q38" s="319" t="s">
        <v>69</v>
      </c>
      <c r="R38" s="82"/>
      <c r="S38" s="82" t="s">
        <v>70</v>
      </c>
      <c r="T38" s="82" t="s">
        <v>209</v>
      </c>
      <c r="U38" s="82" t="s">
        <v>72</v>
      </c>
      <c r="V38" s="82" t="s">
        <v>80</v>
      </c>
    </row>
    <row r="39" spans="1:22">
      <c r="A39" s="79" t="s">
        <v>61</v>
      </c>
      <c r="B39" s="79" t="s">
        <v>217</v>
      </c>
      <c r="C39" s="79" t="s">
        <v>218</v>
      </c>
      <c r="D39" s="80" t="s">
        <v>219</v>
      </c>
      <c r="E39" s="83" t="s">
        <v>65</v>
      </c>
      <c r="F39" s="85" t="s">
        <v>77</v>
      </c>
      <c r="G39" s="79" t="s">
        <v>203</v>
      </c>
      <c r="H39" s="79" t="s">
        <v>204</v>
      </c>
      <c r="I39" s="81" t="s">
        <v>204</v>
      </c>
      <c r="J39" s="81"/>
      <c r="K39" s="131"/>
      <c r="L39" s="131"/>
      <c r="M39" s="84" t="s">
        <v>77</v>
      </c>
      <c r="N39" s="87"/>
      <c r="O39" s="86"/>
      <c r="P39" s="148" t="s">
        <v>220</v>
      </c>
      <c r="Q39" s="319" t="s">
        <v>221</v>
      </c>
      <c r="R39" s="82"/>
      <c r="S39" s="82" t="s">
        <v>70</v>
      </c>
      <c r="T39" s="82" t="s">
        <v>79</v>
      </c>
      <c r="U39" s="82" t="s">
        <v>84</v>
      </c>
      <c r="V39" s="82" t="s">
        <v>73</v>
      </c>
    </row>
    <row r="40" spans="1:22">
      <c r="A40" s="79" t="s">
        <v>61</v>
      </c>
      <c r="B40" s="79" t="s">
        <v>222</v>
      </c>
      <c r="C40" s="79" t="s">
        <v>223</v>
      </c>
      <c r="D40" s="80" t="s">
        <v>224</v>
      </c>
      <c r="E40" s="83" t="s">
        <v>65</v>
      </c>
      <c r="F40" s="85" t="s">
        <v>77</v>
      </c>
      <c r="G40" s="79" t="s">
        <v>203</v>
      </c>
      <c r="H40" s="79" t="s">
        <v>204</v>
      </c>
      <c r="I40" s="81" t="s">
        <v>204</v>
      </c>
      <c r="J40" s="81" t="s">
        <v>7</v>
      </c>
      <c r="K40" s="131"/>
      <c r="L40" s="131"/>
      <c r="M40" s="84" t="s">
        <v>77</v>
      </c>
      <c r="N40" s="87"/>
      <c r="O40" s="86"/>
      <c r="P40" s="148"/>
      <c r="Q40" s="319" t="s">
        <v>77</v>
      </c>
      <c r="R40" s="82"/>
      <c r="S40" s="82" t="s">
        <v>70</v>
      </c>
      <c r="T40" s="82" t="s">
        <v>209</v>
      </c>
      <c r="U40" s="82" t="s">
        <v>72</v>
      </c>
      <c r="V40" s="82" t="s">
        <v>80</v>
      </c>
    </row>
    <row r="41" spans="1:22">
      <c r="A41" s="79" t="s">
        <v>61</v>
      </c>
      <c r="B41" s="79" t="s">
        <v>225</v>
      </c>
      <c r="C41" s="79" t="s">
        <v>226</v>
      </c>
      <c r="D41" s="80" t="s">
        <v>227</v>
      </c>
      <c r="E41" s="83" t="s">
        <v>65</v>
      </c>
      <c r="F41" s="85" t="s">
        <v>66</v>
      </c>
      <c r="G41" s="79" t="s">
        <v>203</v>
      </c>
      <c r="H41" s="79" t="s">
        <v>204</v>
      </c>
      <c r="I41" s="81" t="s">
        <v>204</v>
      </c>
      <c r="J41" s="81" t="s">
        <v>7</v>
      </c>
      <c r="K41" s="131"/>
      <c r="L41" s="131"/>
      <c r="M41" s="84" t="s">
        <v>66</v>
      </c>
      <c r="N41" s="87"/>
      <c r="O41" s="86"/>
      <c r="P41" s="148"/>
      <c r="Q41" s="319" t="s">
        <v>77</v>
      </c>
      <c r="R41" s="82"/>
      <c r="S41" s="82" t="s">
        <v>70</v>
      </c>
      <c r="T41" s="82" t="s">
        <v>209</v>
      </c>
      <c r="U41" s="82" t="s">
        <v>72</v>
      </c>
      <c r="V41" s="82" t="s">
        <v>80</v>
      </c>
    </row>
    <row r="42" spans="1:22">
      <c r="A42" s="79" t="s">
        <v>61</v>
      </c>
      <c r="B42" s="79" t="s">
        <v>228</v>
      </c>
      <c r="C42" s="79" t="s">
        <v>229</v>
      </c>
      <c r="D42" s="80" t="s">
        <v>230</v>
      </c>
      <c r="E42" s="83" t="s">
        <v>65</v>
      </c>
      <c r="F42" s="85" t="s">
        <v>66</v>
      </c>
      <c r="G42" s="79" t="s">
        <v>203</v>
      </c>
      <c r="H42" s="79" t="s">
        <v>204</v>
      </c>
      <c r="I42" s="81" t="s">
        <v>204</v>
      </c>
      <c r="J42" s="81"/>
      <c r="K42" s="131"/>
      <c r="L42" s="131"/>
      <c r="M42" s="84" t="s">
        <v>66</v>
      </c>
      <c r="N42" s="87"/>
      <c r="O42" s="86"/>
      <c r="P42" s="148" t="s">
        <v>220</v>
      </c>
      <c r="Q42" s="319" t="s">
        <v>221</v>
      </c>
      <c r="R42" s="82"/>
      <c r="S42" s="82" t="s">
        <v>70</v>
      </c>
      <c r="T42" s="82" t="s">
        <v>209</v>
      </c>
      <c r="U42" s="82" t="s">
        <v>72</v>
      </c>
      <c r="V42" s="82" t="s">
        <v>80</v>
      </c>
    </row>
    <row r="43" spans="1:22">
      <c r="A43" s="79" t="s">
        <v>61</v>
      </c>
      <c r="B43" s="79" t="s">
        <v>231</v>
      </c>
      <c r="C43" s="79" t="s">
        <v>232</v>
      </c>
      <c r="D43" s="80" t="s">
        <v>233</v>
      </c>
      <c r="E43" s="83" t="s">
        <v>65</v>
      </c>
      <c r="F43" s="85" t="s">
        <v>66</v>
      </c>
      <c r="G43" s="79" t="s">
        <v>203</v>
      </c>
      <c r="H43" s="79" t="s">
        <v>204</v>
      </c>
      <c r="I43" s="81" t="s">
        <v>204</v>
      </c>
      <c r="J43" s="81"/>
      <c r="K43" s="131"/>
      <c r="L43" s="131"/>
      <c r="M43" s="84" t="s">
        <v>66</v>
      </c>
      <c r="N43" s="87"/>
      <c r="O43" s="86"/>
      <c r="P43" s="148"/>
      <c r="Q43" s="319" t="s">
        <v>69</v>
      </c>
      <c r="R43" s="82"/>
      <c r="S43" s="82" t="s">
        <v>70</v>
      </c>
      <c r="T43" s="82" t="s">
        <v>209</v>
      </c>
      <c r="U43" s="82" t="e">
        <v>#N/A</v>
      </c>
      <c r="V43" s="82" t="e">
        <v>#N/A</v>
      </c>
    </row>
    <row r="44" spans="1:22">
      <c r="A44" s="79" t="s">
        <v>61</v>
      </c>
      <c r="B44" s="79" t="s">
        <v>234</v>
      </c>
      <c r="C44" s="79" t="s">
        <v>235</v>
      </c>
      <c r="D44" s="80" t="s">
        <v>236</v>
      </c>
      <c r="E44" s="83" t="s">
        <v>65</v>
      </c>
      <c r="F44" s="85" t="s">
        <v>66</v>
      </c>
      <c r="G44" s="79" t="s">
        <v>203</v>
      </c>
      <c r="H44" s="79" t="s">
        <v>204</v>
      </c>
      <c r="I44" s="81" t="s">
        <v>204</v>
      </c>
      <c r="J44" s="81"/>
      <c r="K44" s="131"/>
      <c r="L44" s="131"/>
      <c r="M44" s="84" t="s">
        <v>66</v>
      </c>
      <c r="N44" s="87"/>
      <c r="O44" s="86"/>
      <c r="P44" s="148" t="s">
        <v>220</v>
      </c>
      <c r="Q44" s="319" t="s">
        <v>69</v>
      </c>
      <c r="R44" s="82"/>
      <c r="S44" s="82" t="s">
        <v>70</v>
      </c>
      <c r="T44" s="82" t="s">
        <v>209</v>
      </c>
      <c r="U44" s="82" t="s">
        <v>84</v>
      </c>
      <c r="V44" s="82" t="s">
        <v>73</v>
      </c>
    </row>
    <row r="45" spans="1:22">
      <c r="A45" s="79" t="s">
        <v>61</v>
      </c>
      <c r="B45" s="79" t="s">
        <v>237</v>
      </c>
      <c r="C45" s="79" t="s">
        <v>237</v>
      </c>
      <c r="D45" s="114" t="s">
        <v>238</v>
      </c>
      <c r="E45" s="83" t="s">
        <v>65</v>
      </c>
      <c r="F45" s="85" t="s">
        <v>77</v>
      </c>
      <c r="G45" s="79" t="s">
        <v>203</v>
      </c>
      <c r="H45" s="115" t="s">
        <v>204</v>
      </c>
      <c r="I45" s="81" t="s">
        <v>204</v>
      </c>
      <c r="J45" s="81" t="s">
        <v>7</v>
      </c>
      <c r="K45" s="131"/>
      <c r="L45" s="131"/>
      <c r="M45" s="84" t="s">
        <v>77</v>
      </c>
      <c r="N45" s="87"/>
      <c r="O45" s="86"/>
      <c r="P45" s="148"/>
      <c r="Q45" s="319" t="s">
        <v>221</v>
      </c>
      <c r="R45" s="82"/>
      <c r="S45" s="82" t="s">
        <v>70</v>
      </c>
      <c r="T45" s="82" t="s">
        <v>209</v>
      </c>
      <c r="U45" s="82" t="s">
        <v>72</v>
      </c>
      <c r="V45" s="82" t="s">
        <v>73</v>
      </c>
    </row>
    <row r="46" spans="1:22">
      <c r="A46" s="79" t="s">
        <v>61</v>
      </c>
      <c r="B46" s="79" t="s">
        <v>239</v>
      </c>
      <c r="C46" s="79" t="s">
        <v>240</v>
      </c>
      <c r="D46" s="80" t="s">
        <v>241</v>
      </c>
      <c r="E46" s="83" t="s">
        <v>65</v>
      </c>
      <c r="F46" s="85" t="s">
        <v>66</v>
      </c>
      <c r="G46" s="79" t="s">
        <v>203</v>
      </c>
      <c r="H46" s="79" t="s">
        <v>204</v>
      </c>
      <c r="I46" s="81" t="s">
        <v>204</v>
      </c>
      <c r="J46" s="81"/>
      <c r="K46" s="131"/>
      <c r="L46" s="131"/>
      <c r="M46" s="84" t="s">
        <v>66</v>
      </c>
      <c r="N46" s="87"/>
      <c r="O46" s="86"/>
      <c r="P46" s="148"/>
      <c r="Q46" s="319" t="s">
        <v>89</v>
      </c>
      <c r="R46" s="82"/>
      <c r="S46" s="82" t="s">
        <v>70</v>
      </c>
      <c r="T46" s="82" t="s">
        <v>209</v>
      </c>
      <c r="U46" s="82" t="s">
        <v>72</v>
      </c>
      <c r="V46" s="82" t="s">
        <v>80</v>
      </c>
    </row>
    <row r="47" spans="1:22">
      <c r="A47" s="79" t="s">
        <v>61</v>
      </c>
      <c r="B47" s="79" t="s">
        <v>242</v>
      </c>
      <c r="C47" s="79" t="s">
        <v>243</v>
      </c>
      <c r="D47" s="80" t="s">
        <v>244</v>
      </c>
      <c r="E47" s="83" t="s">
        <v>65</v>
      </c>
      <c r="F47" s="85" t="s">
        <v>77</v>
      </c>
      <c r="G47" s="79" t="s">
        <v>203</v>
      </c>
      <c r="H47" s="79" t="s">
        <v>204</v>
      </c>
      <c r="I47" s="81" t="s">
        <v>204</v>
      </c>
      <c r="J47" s="81"/>
      <c r="K47" s="131"/>
      <c r="L47" s="131"/>
      <c r="M47" s="84" t="s">
        <v>77</v>
      </c>
      <c r="N47" s="87"/>
      <c r="O47" s="86"/>
      <c r="P47" s="148"/>
      <c r="Q47" s="319" t="s">
        <v>77</v>
      </c>
      <c r="R47" s="82"/>
      <c r="S47" s="82" t="s">
        <v>70</v>
      </c>
      <c r="T47" s="82" t="s">
        <v>209</v>
      </c>
      <c r="U47" s="82" t="e">
        <v>#N/A</v>
      </c>
      <c r="V47" s="82" t="e">
        <v>#N/A</v>
      </c>
    </row>
    <row r="48" spans="1:22">
      <c r="A48" s="79" t="s">
        <v>61</v>
      </c>
      <c r="B48" s="79" t="s">
        <v>245</v>
      </c>
      <c r="C48" s="79" t="s">
        <v>246</v>
      </c>
      <c r="D48" s="80" t="s">
        <v>247</v>
      </c>
      <c r="E48" s="83" t="s">
        <v>65</v>
      </c>
      <c r="F48" s="85" t="s">
        <v>77</v>
      </c>
      <c r="G48" s="79" t="s">
        <v>203</v>
      </c>
      <c r="H48" s="79" t="s">
        <v>204</v>
      </c>
      <c r="I48" s="81" t="s">
        <v>204</v>
      </c>
      <c r="J48" s="81"/>
      <c r="K48" s="131"/>
      <c r="L48" s="131" t="s">
        <v>193</v>
      </c>
      <c r="M48" s="84" t="s">
        <v>77</v>
      </c>
      <c r="N48" s="87"/>
      <c r="O48" s="86"/>
      <c r="P48" s="148" t="s">
        <v>248</v>
      </c>
      <c r="Q48" s="319" t="s">
        <v>221</v>
      </c>
      <c r="R48" s="82"/>
      <c r="S48" s="82" t="s">
        <v>70</v>
      </c>
      <c r="T48" s="82" t="s">
        <v>209</v>
      </c>
      <c r="U48" s="82" t="s">
        <v>84</v>
      </c>
      <c r="V48" s="82" t="s">
        <v>73</v>
      </c>
    </row>
    <row r="49" spans="1:22">
      <c r="A49" s="79" t="s">
        <v>61</v>
      </c>
      <c r="B49" s="79" t="s">
        <v>249</v>
      </c>
      <c r="C49" s="79" t="s">
        <v>250</v>
      </c>
      <c r="D49" s="80" t="s">
        <v>251</v>
      </c>
      <c r="E49" s="83" t="s">
        <v>65</v>
      </c>
      <c r="F49" s="85" t="s">
        <v>77</v>
      </c>
      <c r="G49" s="79" t="s">
        <v>203</v>
      </c>
      <c r="H49" s="79" t="s">
        <v>204</v>
      </c>
      <c r="I49" s="81" t="s">
        <v>204</v>
      </c>
      <c r="J49" s="81"/>
      <c r="K49" s="131"/>
      <c r="L49" s="131"/>
      <c r="M49" s="84" t="s">
        <v>77</v>
      </c>
      <c r="N49" s="87"/>
      <c r="O49" s="86"/>
      <c r="P49" s="148" t="s">
        <v>220</v>
      </c>
      <c r="Q49" s="319" t="s">
        <v>252</v>
      </c>
      <c r="R49" s="82"/>
      <c r="S49" s="82" t="s">
        <v>70</v>
      </c>
      <c r="T49" s="82" t="s">
        <v>79</v>
      </c>
      <c r="U49" s="82" t="s">
        <v>72</v>
      </c>
      <c r="V49" s="82" t="s">
        <v>80</v>
      </c>
    </row>
    <row r="50" spans="1:22">
      <c r="A50" s="79" t="s">
        <v>61</v>
      </c>
      <c r="B50" s="79" t="s">
        <v>253</v>
      </c>
      <c r="C50" s="79" t="s">
        <v>254</v>
      </c>
      <c r="D50" s="80" t="s">
        <v>255</v>
      </c>
      <c r="E50" s="178" t="s">
        <v>256</v>
      </c>
      <c r="F50" s="85" t="s">
        <v>77</v>
      </c>
      <c r="G50" s="79" t="s">
        <v>203</v>
      </c>
      <c r="H50" s="79" t="s">
        <v>204</v>
      </c>
      <c r="I50" s="81" t="s">
        <v>204</v>
      </c>
      <c r="J50" s="139" t="s">
        <v>17</v>
      </c>
      <c r="K50" s="131" t="s">
        <v>17</v>
      </c>
      <c r="L50" s="131" t="s">
        <v>193</v>
      </c>
      <c r="M50" s="84" t="s">
        <v>77</v>
      </c>
      <c r="N50" s="87"/>
      <c r="O50" s="86"/>
      <c r="P50" s="148"/>
      <c r="Q50" s="319" t="s">
        <v>77</v>
      </c>
      <c r="R50" s="82"/>
      <c r="S50" s="82" t="s">
        <v>70</v>
      </c>
      <c r="T50" s="82" t="s">
        <v>209</v>
      </c>
      <c r="U50" s="82" t="s">
        <v>72</v>
      </c>
      <c r="V50" s="82" t="s">
        <v>80</v>
      </c>
    </row>
    <row r="51" spans="1:22">
      <c r="A51" s="79" t="s">
        <v>61</v>
      </c>
      <c r="B51" s="79" t="s">
        <v>257</v>
      </c>
      <c r="C51" s="79" t="s">
        <v>258</v>
      </c>
      <c r="D51" s="80" t="s">
        <v>259</v>
      </c>
      <c r="E51" s="83" t="s">
        <v>65</v>
      </c>
      <c r="F51" s="85" t="s">
        <v>66</v>
      </c>
      <c r="G51" s="79" t="s">
        <v>203</v>
      </c>
      <c r="H51" s="79" t="s">
        <v>204</v>
      </c>
      <c r="I51" s="81" t="s">
        <v>204</v>
      </c>
      <c r="J51" s="81" t="s">
        <v>7</v>
      </c>
      <c r="K51" s="131"/>
      <c r="L51" s="131"/>
      <c r="M51" s="84" t="s">
        <v>66</v>
      </c>
      <c r="N51" s="87"/>
      <c r="O51" s="86"/>
      <c r="P51" s="148"/>
      <c r="Q51" s="319" t="s">
        <v>252</v>
      </c>
      <c r="R51" s="82"/>
      <c r="S51" s="82" t="s">
        <v>70</v>
      </c>
      <c r="T51" s="82" t="s">
        <v>209</v>
      </c>
      <c r="U51" s="82" t="s">
        <v>84</v>
      </c>
      <c r="V51" s="82" t="s">
        <v>73</v>
      </c>
    </row>
    <row r="52" spans="1:22">
      <c r="A52" s="79" t="s">
        <v>61</v>
      </c>
      <c r="B52" s="79" t="s">
        <v>260</v>
      </c>
      <c r="C52" s="79" t="s">
        <v>261</v>
      </c>
      <c r="D52" s="80" t="s">
        <v>262</v>
      </c>
      <c r="E52" s="83" t="s">
        <v>65</v>
      </c>
      <c r="F52" s="85" t="s">
        <v>66</v>
      </c>
      <c r="G52" s="79" t="s">
        <v>203</v>
      </c>
      <c r="H52" s="79" t="s">
        <v>204</v>
      </c>
      <c r="I52" s="81" t="s">
        <v>204</v>
      </c>
      <c r="J52" s="81" t="s">
        <v>7</v>
      </c>
      <c r="K52" s="131"/>
      <c r="L52" s="131"/>
      <c r="M52" s="84" t="s">
        <v>66</v>
      </c>
      <c r="N52" s="87"/>
      <c r="O52" s="86"/>
      <c r="P52" s="148"/>
      <c r="Q52" s="319" t="s">
        <v>89</v>
      </c>
      <c r="R52" s="82"/>
      <c r="S52" s="82" t="s">
        <v>70</v>
      </c>
      <c r="T52" s="82" t="s">
        <v>209</v>
      </c>
      <c r="U52" s="82" t="s">
        <v>72</v>
      </c>
      <c r="V52" s="82" t="s">
        <v>73</v>
      </c>
    </row>
    <row r="53" spans="1:22">
      <c r="A53" s="79" t="s">
        <v>61</v>
      </c>
      <c r="B53" s="79" t="s">
        <v>263</v>
      </c>
      <c r="C53" s="79" t="s">
        <v>264</v>
      </c>
      <c r="D53" s="80" t="s">
        <v>265</v>
      </c>
      <c r="E53" s="83" t="s">
        <v>65</v>
      </c>
      <c r="F53" s="85" t="s">
        <v>66</v>
      </c>
      <c r="G53" s="79" t="s">
        <v>266</v>
      </c>
      <c r="H53" s="79" t="s">
        <v>267</v>
      </c>
      <c r="I53" s="81" t="s">
        <v>267</v>
      </c>
      <c r="J53" s="102" t="s">
        <v>0</v>
      </c>
      <c r="K53" s="130" t="s">
        <v>0</v>
      </c>
      <c r="L53" s="131"/>
      <c r="M53" s="84" t="s">
        <v>66</v>
      </c>
      <c r="N53" s="87">
        <v>46097</v>
      </c>
      <c r="O53" s="86">
        <v>46101</v>
      </c>
      <c r="P53" s="148" t="s">
        <v>268</v>
      </c>
      <c r="Q53" s="319" t="s">
        <v>94</v>
      </c>
      <c r="R53" s="82"/>
      <c r="S53" s="82" t="s">
        <v>119</v>
      </c>
      <c r="T53" s="82" t="s">
        <v>269</v>
      </c>
      <c r="U53" s="82" t="s">
        <v>84</v>
      </c>
      <c r="V53" s="82" t="s">
        <v>73</v>
      </c>
    </row>
    <row r="54" spans="1:22">
      <c r="A54" s="79" t="s">
        <v>61</v>
      </c>
      <c r="B54" s="79" t="s">
        <v>270</v>
      </c>
      <c r="C54" s="79" t="s">
        <v>271</v>
      </c>
      <c r="D54" s="80" t="s">
        <v>272</v>
      </c>
      <c r="E54" s="83" t="s">
        <v>65</v>
      </c>
      <c r="F54" s="85" t="s">
        <v>66</v>
      </c>
      <c r="G54" s="79" t="s">
        <v>266</v>
      </c>
      <c r="H54" s="79" t="s">
        <v>273</v>
      </c>
      <c r="I54" s="81" t="s">
        <v>273</v>
      </c>
      <c r="J54" s="81"/>
      <c r="K54" s="131"/>
      <c r="L54" s="131"/>
      <c r="M54" s="84" t="s">
        <v>66</v>
      </c>
      <c r="N54" s="87"/>
      <c r="O54" s="86"/>
      <c r="P54" s="148"/>
      <c r="Q54" s="319" t="s">
        <v>69</v>
      </c>
      <c r="R54" s="82"/>
      <c r="S54" s="82" t="s">
        <v>119</v>
      </c>
      <c r="T54" s="82" t="s">
        <v>269</v>
      </c>
      <c r="U54" s="82" t="s">
        <v>72</v>
      </c>
      <c r="V54" s="82" t="s">
        <v>80</v>
      </c>
    </row>
    <row r="55" spans="1:22">
      <c r="A55" s="79" t="s">
        <v>61</v>
      </c>
      <c r="B55" s="79" t="s">
        <v>274</v>
      </c>
      <c r="C55" s="79" t="s">
        <v>275</v>
      </c>
      <c r="D55" s="80" t="s">
        <v>276</v>
      </c>
      <c r="E55" s="83" t="s">
        <v>65</v>
      </c>
      <c r="F55" s="85" t="s">
        <v>66</v>
      </c>
      <c r="G55" s="79" t="s">
        <v>266</v>
      </c>
      <c r="H55" s="79" t="s">
        <v>273</v>
      </c>
      <c r="I55" s="81" t="s">
        <v>273</v>
      </c>
      <c r="J55" s="81" t="s">
        <v>7</v>
      </c>
      <c r="K55" s="131"/>
      <c r="L55" s="131"/>
      <c r="M55" s="84" t="s">
        <v>66</v>
      </c>
      <c r="N55" s="87"/>
      <c r="O55" s="86"/>
      <c r="P55" s="148"/>
      <c r="Q55" s="319" t="s">
        <v>69</v>
      </c>
      <c r="R55" s="82"/>
      <c r="S55" s="82" t="s">
        <v>119</v>
      </c>
      <c r="T55" s="82" t="s">
        <v>269</v>
      </c>
      <c r="U55" s="82" t="s">
        <v>84</v>
      </c>
      <c r="V55" s="82" t="s">
        <v>73</v>
      </c>
    </row>
    <row r="56" spans="1:22">
      <c r="A56" s="79" t="s">
        <v>61</v>
      </c>
      <c r="B56" s="79" t="s">
        <v>277</v>
      </c>
      <c r="C56" s="79" t="s">
        <v>278</v>
      </c>
      <c r="D56" s="80" t="s">
        <v>279</v>
      </c>
      <c r="E56" s="83" t="s">
        <v>65</v>
      </c>
      <c r="F56" s="85" t="s">
        <v>77</v>
      </c>
      <c r="G56" s="79" t="s">
        <v>266</v>
      </c>
      <c r="H56" s="79" t="s">
        <v>273</v>
      </c>
      <c r="I56" s="81" t="s">
        <v>273</v>
      </c>
      <c r="J56" s="81"/>
      <c r="K56" s="131"/>
      <c r="L56" s="131"/>
      <c r="M56" s="84" t="s">
        <v>77</v>
      </c>
      <c r="N56" s="87"/>
      <c r="O56" s="86"/>
      <c r="P56" s="148"/>
      <c r="Q56" s="319" t="s">
        <v>77</v>
      </c>
      <c r="R56" s="82"/>
      <c r="S56" s="82" t="s">
        <v>119</v>
      </c>
      <c r="T56" s="82" t="s">
        <v>269</v>
      </c>
      <c r="U56" s="82" t="s">
        <v>84</v>
      </c>
      <c r="V56" s="82" t="s">
        <v>73</v>
      </c>
    </row>
    <row r="57" spans="1:22">
      <c r="A57" s="79" t="s">
        <v>61</v>
      </c>
      <c r="B57" s="79" t="s">
        <v>280</v>
      </c>
      <c r="C57" s="79" t="s">
        <v>281</v>
      </c>
      <c r="D57" s="80" t="s">
        <v>282</v>
      </c>
      <c r="E57" s="83" t="s">
        <v>65</v>
      </c>
      <c r="F57" s="85" t="s">
        <v>66</v>
      </c>
      <c r="G57" s="79" t="s">
        <v>266</v>
      </c>
      <c r="H57" s="79" t="s">
        <v>273</v>
      </c>
      <c r="I57" s="81" t="s">
        <v>273</v>
      </c>
      <c r="J57" s="81" t="s">
        <v>7</v>
      </c>
      <c r="K57" s="131"/>
      <c r="L57" s="131"/>
      <c r="M57" s="84" t="s">
        <v>66</v>
      </c>
      <c r="N57" s="87"/>
      <c r="O57" s="86"/>
      <c r="P57" s="148"/>
      <c r="Q57" s="319" t="s">
        <v>69</v>
      </c>
      <c r="R57" s="82"/>
      <c r="S57" s="82" t="s">
        <v>119</v>
      </c>
      <c r="T57" s="82" t="s">
        <v>269</v>
      </c>
      <c r="U57" s="82" t="s">
        <v>84</v>
      </c>
      <c r="V57" s="82" t="s">
        <v>73</v>
      </c>
    </row>
    <row r="58" spans="1:22">
      <c r="A58" s="79" t="s">
        <v>61</v>
      </c>
      <c r="B58" s="79" t="s">
        <v>283</v>
      </c>
      <c r="C58" s="79" t="s">
        <v>284</v>
      </c>
      <c r="D58" s="80" t="s">
        <v>285</v>
      </c>
      <c r="E58" s="83" t="s">
        <v>65</v>
      </c>
      <c r="F58" s="85" t="s">
        <v>66</v>
      </c>
      <c r="G58" s="79" t="s">
        <v>266</v>
      </c>
      <c r="H58" s="79" t="s">
        <v>267</v>
      </c>
      <c r="I58" s="81" t="s">
        <v>267</v>
      </c>
      <c r="J58" s="81"/>
      <c r="K58" s="131"/>
      <c r="L58" s="131"/>
      <c r="M58" s="84" t="s">
        <v>66</v>
      </c>
      <c r="N58" s="87"/>
      <c r="O58" s="86"/>
      <c r="P58" s="148"/>
      <c r="Q58" s="319" t="s">
        <v>94</v>
      </c>
      <c r="R58" s="82"/>
      <c r="S58" s="82" t="s">
        <v>119</v>
      </c>
      <c r="T58" s="82" t="s">
        <v>269</v>
      </c>
      <c r="U58" s="82" t="s">
        <v>84</v>
      </c>
      <c r="V58" s="82" t="s">
        <v>73</v>
      </c>
    </row>
    <row r="59" spans="1:22">
      <c r="A59" s="79" t="s">
        <v>61</v>
      </c>
      <c r="B59" s="79" t="s">
        <v>286</v>
      </c>
      <c r="C59" s="79" t="s">
        <v>287</v>
      </c>
      <c r="D59" s="80" t="s">
        <v>288</v>
      </c>
      <c r="E59" s="83" t="s">
        <v>65</v>
      </c>
      <c r="F59" s="85" t="s">
        <v>66</v>
      </c>
      <c r="G59" s="79" t="s">
        <v>266</v>
      </c>
      <c r="H59" s="79" t="s">
        <v>267</v>
      </c>
      <c r="I59" s="81" t="s">
        <v>267</v>
      </c>
      <c r="J59" s="81"/>
      <c r="K59" s="131"/>
      <c r="L59" s="131"/>
      <c r="M59" s="84" t="s">
        <v>66</v>
      </c>
      <c r="N59" s="87"/>
      <c r="O59" s="86"/>
      <c r="P59" s="148"/>
      <c r="Q59" s="319" t="s">
        <v>94</v>
      </c>
      <c r="R59" s="82"/>
      <c r="S59" s="82" t="s">
        <v>119</v>
      </c>
      <c r="T59" s="82" t="s">
        <v>269</v>
      </c>
      <c r="U59" s="82" t="s">
        <v>72</v>
      </c>
      <c r="V59" s="82" t="s">
        <v>80</v>
      </c>
    </row>
    <row r="60" spans="1:22">
      <c r="A60" s="79" t="s">
        <v>61</v>
      </c>
      <c r="B60" s="79" t="s">
        <v>289</v>
      </c>
      <c r="C60" s="79" t="s">
        <v>290</v>
      </c>
      <c r="D60" s="80" t="s">
        <v>291</v>
      </c>
      <c r="E60" s="83" t="s">
        <v>65</v>
      </c>
      <c r="F60" s="85" t="s">
        <v>66</v>
      </c>
      <c r="G60" s="79" t="s">
        <v>266</v>
      </c>
      <c r="H60" s="79" t="s">
        <v>267</v>
      </c>
      <c r="I60" s="81" t="s">
        <v>267</v>
      </c>
      <c r="J60" s="81" t="s">
        <v>7</v>
      </c>
      <c r="K60" s="131"/>
      <c r="L60" s="131"/>
      <c r="M60" s="84" t="s">
        <v>66</v>
      </c>
      <c r="N60" s="87"/>
      <c r="O60" s="86"/>
      <c r="P60" s="148"/>
      <c r="Q60" s="319" t="s">
        <v>69</v>
      </c>
      <c r="R60" s="82"/>
      <c r="S60" s="82" t="s">
        <v>119</v>
      </c>
      <c r="T60" s="82" t="s">
        <v>180</v>
      </c>
      <c r="U60" s="82" t="s">
        <v>72</v>
      </c>
      <c r="V60" s="82" t="s">
        <v>80</v>
      </c>
    </row>
    <row r="61" spans="1:22">
      <c r="A61" s="79" t="s">
        <v>61</v>
      </c>
      <c r="B61" s="79" t="s">
        <v>292</v>
      </c>
      <c r="C61" s="79" t="s">
        <v>293</v>
      </c>
      <c r="D61" s="80" t="s">
        <v>294</v>
      </c>
      <c r="E61" s="83" t="s">
        <v>65</v>
      </c>
      <c r="F61" s="85" t="s">
        <v>66</v>
      </c>
      <c r="G61" s="79" t="s">
        <v>266</v>
      </c>
      <c r="H61" s="79" t="s">
        <v>267</v>
      </c>
      <c r="I61" s="81" t="s">
        <v>267</v>
      </c>
      <c r="J61" s="81"/>
      <c r="K61" s="131"/>
      <c r="L61" s="131"/>
      <c r="M61" s="84" t="s">
        <v>66</v>
      </c>
      <c r="N61" s="87"/>
      <c r="O61" s="86"/>
      <c r="P61" s="148"/>
      <c r="Q61" s="319" t="s">
        <v>69</v>
      </c>
      <c r="R61" s="82"/>
      <c r="S61" s="82" t="s">
        <v>119</v>
      </c>
      <c r="T61" s="82" t="s">
        <v>133</v>
      </c>
      <c r="U61" s="82" t="s">
        <v>72</v>
      </c>
      <c r="V61" s="82" t="s">
        <v>73</v>
      </c>
    </row>
    <row r="62" spans="1:22">
      <c r="A62" s="79" t="s">
        <v>61</v>
      </c>
      <c r="B62" s="79" t="s">
        <v>295</v>
      </c>
      <c r="C62" s="79" t="s">
        <v>296</v>
      </c>
      <c r="D62" s="80" t="s">
        <v>297</v>
      </c>
      <c r="E62" s="83" t="s">
        <v>65</v>
      </c>
      <c r="F62" s="85" t="s">
        <v>66</v>
      </c>
      <c r="G62" s="79" t="s">
        <v>266</v>
      </c>
      <c r="H62" s="79" t="s">
        <v>267</v>
      </c>
      <c r="I62" s="81" t="s">
        <v>267</v>
      </c>
      <c r="J62" s="81" t="s">
        <v>7</v>
      </c>
      <c r="K62" s="131"/>
      <c r="L62" s="131"/>
      <c r="M62" s="84" t="s">
        <v>66</v>
      </c>
      <c r="N62" s="87"/>
      <c r="O62" s="86"/>
      <c r="P62" s="148"/>
      <c r="Q62" s="319" t="s">
        <v>69</v>
      </c>
      <c r="R62" s="82"/>
      <c r="S62" s="82" t="s">
        <v>119</v>
      </c>
      <c r="T62" s="82" t="s">
        <v>180</v>
      </c>
      <c r="U62" s="82" t="s">
        <v>72</v>
      </c>
      <c r="V62" s="82" t="s">
        <v>80</v>
      </c>
    </row>
    <row r="63" spans="1:22">
      <c r="A63" s="79" t="s">
        <v>61</v>
      </c>
      <c r="B63" s="79" t="s">
        <v>298</v>
      </c>
      <c r="C63" s="156" t="s">
        <v>299</v>
      </c>
      <c r="D63" s="80" t="s">
        <v>300</v>
      </c>
      <c r="E63" s="83" t="s">
        <v>65</v>
      </c>
      <c r="F63" s="85" t="s">
        <v>66</v>
      </c>
      <c r="G63" s="79" t="s">
        <v>266</v>
      </c>
      <c r="H63" s="79" t="s">
        <v>267</v>
      </c>
      <c r="I63" s="81" t="s">
        <v>267</v>
      </c>
      <c r="J63" s="81"/>
      <c r="K63" s="131"/>
      <c r="L63" s="131"/>
      <c r="M63" s="84" t="s">
        <v>66</v>
      </c>
      <c r="N63" s="87"/>
      <c r="O63" s="86"/>
      <c r="P63" s="148"/>
      <c r="Q63" s="319" t="s">
        <v>69</v>
      </c>
      <c r="R63" s="82"/>
      <c r="S63" s="82" t="s">
        <v>119</v>
      </c>
      <c r="T63" s="82" t="s">
        <v>133</v>
      </c>
      <c r="U63" s="82" t="s">
        <v>84</v>
      </c>
      <c r="V63" s="82" t="s">
        <v>73</v>
      </c>
    </row>
    <row r="64" spans="1:22">
      <c r="A64" s="79" t="s">
        <v>61</v>
      </c>
      <c r="B64" s="79" t="s">
        <v>301</v>
      </c>
      <c r="C64" s="79" t="s">
        <v>302</v>
      </c>
      <c r="D64" s="80" t="s">
        <v>303</v>
      </c>
      <c r="E64" s="83" t="s">
        <v>65</v>
      </c>
      <c r="F64" s="85" t="s">
        <v>66</v>
      </c>
      <c r="G64" s="79" t="s">
        <v>266</v>
      </c>
      <c r="H64" s="79" t="s">
        <v>267</v>
      </c>
      <c r="I64" s="81" t="s">
        <v>267</v>
      </c>
      <c r="J64" s="81"/>
      <c r="K64" s="131"/>
      <c r="L64" s="131"/>
      <c r="M64" s="84" t="s">
        <v>66</v>
      </c>
      <c r="N64" s="87"/>
      <c r="O64" s="86"/>
      <c r="P64" s="148"/>
      <c r="Q64" s="319" t="s">
        <v>69</v>
      </c>
      <c r="R64" s="82"/>
      <c r="S64" s="82" t="s">
        <v>119</v>
      </c>
      <c r="T64" s="82" t="s">
        <v>180</v>
      </c>
      <c r="U64" s="82" t="s">
        <v>72</v>
      </c>
      <c r="V64" s="82" t="s">
        <v>80</v>
      </c>
    </row>
    <row r="65" spans="1:22">
      <c r="A65" s="79" t="s">
        <v>61</v>
      </c>
      <c r="B65" s="79" t="s">
        <v>304</v>
      </c>
      <c r="C65" s="79" t="s">
        <v>305</v>
      </c>
      <c r="D65" s="80" t="s">
        <v>306</v>
      </c>
      <c r="E65" s="178" t="s">
        <v>256</v>
      </c>
      <c r="F65" s="85" t="s">
        <v>66</v>
      </c>
      <c r="G65" s="79" t="s">
        <v>266</v>
      </c>
      <c r="H65" s="79" t="s">
        <v>273</v>
      </c>
      <c r="I65" s="81" t="s">
        <v>273</v>
      </c>
      <c r="J65" s="139" t="s">
        <v>17</v>
      </c>
      <c r="K65" s="131" t="s">
        <v>17</v>
      </c>
      <c r="L65" s="131" t="s">
        <v>193</v>
      </c>
      <c r="M65" s="84" t="s">
        <v>66</v>
      </c>
      <c r="N65" s="87"/>
      <c r="O65" s="86"/>
      <c r="P65" s="148"/>
      <c r="Q65" s="319" t="s">
        <v>77</v>
      </c>
      <c r="R65" s="82"/>
      <c r="S65" s="82" t="s">
        <v>70</v>
      </c>
      <c r="T65" s="82" t="s">
        <v>269</v>
      </c>
      <c r="U65" s="82" t="s">
        <v>72</v>
      </c>
      <c r="V65" s="82" t="s">
        <v>80</v>
      </c>
    </row>
    <row r="66" spans="1:22">
      <c r="A66" s="79" t="s">
        <v>61</v>
      </c>
      <c r="B66" s="79" t="s">
        <v>307</v>
      </c>
      <c r="C66" s="79" t="s">
        <v>308</v>
      </c>
      <c r="D66" s="80" t="s">
        <v>309</v>
      </c>
      <c r="E66" s="178" t="s">
        <v>310</v>
      </c>
      <c r="F66" s="85" t="s">
        <v>66</v>
      </c>
      <c r="G66" s="79" t="s">
        <v>266</v>
      </c>
      <c r="H66" s="79" t="s">
        <v>267</v>
      </c>
      <c r="I66" s="81" t="s">
        <v>267</v>
      </c>
      <c r="J66" s="139" t="s">
        <v>17</v>
      </c>
      <c r="K66" s="131" t="s">
        <v>17</v>
      </c>
      <c r="L66" s="131" t="s">
        <v>193</v>
      </c>
      <c r="M66" s="84" t="s">
        <v>66</v>
      </c>
      <c r="N66" s="87"/>
      <c r="O66" s="86"/>
      <c r="P66" s="148"/>
      <c r="Q66" s="319" t="s">
        <v>77</v>
      </c>
      <c r="R66" s="82"/>
      <c r="S66" s="82" t="s">
        <v>70</v>
      </c>
      <c r="T66" s="82" t="s">
        <v>180</v>
      </c>
      <c r="U66" s="82" t="s">
        <v>72</v>
      </c>
      <c r="V66" s="82" t="s">
        <v>80</v>
      </c>
    </row>
    <row r="67" spans="1:22">
      <c r="A67" s="79" t="s">
        <v>61</v>
      </c>
      <c r="B67" s="79" t="s">
        <v>311</v>
      </c>
      <c r="C67" s="79" t="s">
        <v>312</v>
      </c>
      <c r="D67" s="80" t="s">
        <v>313</v>
      </c>
      <c r="E67" s="83" t="s">
        <v>65</v>
      </c>
      <c r="F67" s="85" t="s">
        <v>66</v>
      </c>
      <c r="G67" s="79" t="s">
        <v>266</v>
      </c>
      <c r="H67" s="79" t="s">
        <v>267</v>
      </c>
      <c r="I67" s="81" t="s">
        <v>267</v>
      </c>
      <c r="J67" s="81"/>
      <c r="K67" s="131"/>
      <c r="L67" s="131"/>
      <c r="M67" s="84" t="s">
        <v>66</v>
      </c>
      <c r="N67" s="87"/>
      <c r="O67" s="86"/>
      <c r="P67" s="148"/>
      <c r="Q67" s="319" t="s">
        <v>94</v>
      </c>
      <c r="R67" s="82"/>
      <c r="S67" s="82" t="s">
        <v>119</v>
      </c>
      <c r="T67" s="82" t="s">
        <v>120</v>
      </c>
      <c r="U67" s="82" t="s">
        <v>72</v>
      </c>
      <c r="V67" s="82" t="s">
        <v>80</v>
      </c>
    </row>
    <row r="68" spans="1:22">
      <c r="A68" s="79" t="s">
        <v>61</v>
      </c>
      <c r="B68" s="79" t="s">
        <v>314</v>
      </c>
      <c r="C68" s="79" t="s">
        <v>315</v>
      </c>
      <c r="D68" s="80" t="s">
        <v>316</v>
      </c>
      <c r="E68" s="83" t="s">
        <v>65</v>
      </c>
      <c r="F68" s="85" t="s">
        <v>66</v>
      </c>
      <c r="G68" s="79" t="s">
        <v>317</v>
      </c>
      <c r="H68" s="79" t="s">
        <v>143</v>
      </c>
      <c r="I68" s="81" t="s">
        <v>143</v>
      </c>
      <c r="J68" s="81"/>
      <c r="K68" s="131"/>
      <c r="L68" s="131"/>
      <c r="M68" s="84" t="s">
        <v>66</v>
      </c>
      <c r="N68" s="87"/>
      <c r="O68" s="86"/>
      <c r="P68" s="148"/>
      <c r="Q68" s="319" t="s">
        <v>94</v>
      </c>
      <c r="R68" s="82"/>
      <c r="S68" s="82" t="s">
        <v>119</v>
      </c>
      <c r="T68" s="82" t="s">
        <v>124</v>
      </c>
      <c r="U68" s="82" t="s">
        <v>72</v>
      </c>
      <c r="V68" s="82" t="s">
        <v>80</v>
      </c>
    </row>
    <row r="69" spans="1:22">
      <c r="A69" s="79" t="s">
        <v>61</v>
      </c>
      <c r="B69" s="79" t="s">
        <v>318</v>
      </c>
      <c r="C69" s="79" t="s">
        <v>319</v>
      </c>
      <c r="D69" s="80" t="s">
        <v>320</v>
      </c>
      <c r="E69" s="83" t="s">
        <v>65</v>
      </c>
      <c r="F69" s="85" t="s">
        <v>77</v>
      </c>
      <c r="G69" s="79" t="s">
        <v>317</v>
      </c>
      <c r="H69" s="79" t="s">
        <v>143</v>
      </c>
      <c r="I69" s="81" t="s">
        <v>143</v>
      </c>
      <c r="J69" s="81" t="s">
        <v>7</v>
      </c>
      <c r="K69" s="131"/>
      <c r="L69" s="131"/>
      <c r="M69" s="84" t="s">
        <v>77</v>
      </c>
      <c r="N69" s="87"/>
      <c r="O69" s="86"/>
      <c r="P69" s="148"/>
      <c r="Q69" s="319" t="s">
        <v>252</v>
      </c>
      <c r="R69" s="82"/>
      <c r="S69" s="82" t="s">
        <v>119</v>
      </c>
      <c r="T69" s="82" t="s">
        <v>124</v>
      </c>
      <c r="U69" s="82" t="s">
        <v>72</v>
      </c>
      <c r="V69" s="82" t="s">
        <v>80</v>
      </c>
    </row>
    <row r="70" spans="1:22">
      <c r="A70" s="79" t="s">
        <v>61</v>
      </c>
      <c r="B70" s="79" t="s">
        <v>321</v>
      </c>
      <c r="C70" s="79" t="s">
        <v>322</v>
      </c>
      <c r="D70" s="80" t="s">
        <v>323</v>
      </c>
      <c r="E70" s="83" t="s">
        <v>65</v>
      </c>
      <c r="F70" s="85" t="s">
        <v>66</v>
      </c>
      <c r="G70" s="79" t="s">
        <v>317</v>
      </c>
      <c r="H70" s="79" t="s">
        <v>143</v>
      </c>
      <c r="I70" s="81" t="s">
        <v>143</v>
      </c>
      <c r="J70" s="81"/>
      <c r="K70" s="131"/>
      <c r="L70" s="131"/>
      <c r="M70" s="84" t="s">
        <v>66</v>
      </c>
      <c r="N70" s="87"/>
      <c r="O70" s="86"/>
      <c r="P70" s="148"/>
      <c r="Q70" s="319" t="s">
        <v>94</v>
      </c>
      <c r="R70" s="82"/>
      <c r="S70" s="82" t="s">
        <v>119</v>
      </c>
      <c r="T70" s="82" t="s">
        <v>124</v>
      </c>
      <c r="U70" s="82" t="s">
        <v>72</v>
      </c>
      <c r="V70" s="82" t="s">
        <v>80</v>
      </c>
    </row>
    <row r="71" spans="1:22">
      <c r="A71" s="79" t="s">
        <v>61</v>
      </c>
      <c r="B71" s="113" t="s">
        <v>324</v>
      </c>
      <c r="C71" s="79" t="s">
        <v>325</v>
      </c>
      <c r="D71" s="114" t="s">
        <v>326</v>
      </c>
      <c r="E71" s="83" t="s">
        <v>65</v>
      </c>
      <c r="F71" s="85" t="s">
        <v>66</v>
      </c>
      <c r="G71" s="79" t="s">
        <v>317</v>
      </c>
      <c r="H71" s="115" t="s">
        <v>143</v>
      </c>
      <c r="I71" s="116" t="s">
        <v>143</v>
      </c>
      <c r="J71" s="81"/>
      <c r="K71" s="131"/>
      <c r="L71" s="131"/>
      <c r="M71" s="84" t="s">
        <v>77</v>
      </c>
      <c r="N71" s="87"/>
      <c r="O71" s="86"/>
      <c r="P71" s="148"/>
      <c r="Q71" s="319" t="s">
        <v>69</v>
      </c>
      <c r="R71" s="82"/>
      <c r="S71" s="82" t="s">
        <v>119</v>
      </c>
      <c r="T71" s="82" t="s">
        <v>124</v>
      </c>
      <c r="U71" s="82" t="s">
        <v>84</v>
      </c>
      <c r="V71" s="82" t="s">
        <v>73</v>
      </c>
    </row>
    <row r="72" spans="1:22">
      <c r="A72" s="79" t="s">
        <v>61</v>
      </c>
      <c r="B72" s="113" t="s">
        <v>327</v>
      </c>
      <c r="C72" s="79" t="s">
        <v>328</v>
      </c>
      <c r="D72" s="114" t="s">
        <v>329</v>
      </c>
      <c r="E72" s="83" t="s">
        <v>65</v>
      </c>
      <c r="F72" s="85" t="s">
        <v>66</v>
      </c>
      <c r="G72" s="79" t="s">
        <v>317</v>
      </c>
      <c r="H72" s="115" t="s">
        <v>143</v>
      </c>
      <c r="I72" s="116" t="s">
        <v>143</v>
      </c>
      <c r="J72" s="81"/>
      <c r="K72" s="131"/>
      <c r="L72" s="131"/>
      <c r="M72" s="84" t="s">
        <v>77</v>
      </c>
      <c r="N72" s="87"/>
      <c r="O72" s="86"/>
      <c r="P72" s="148" t="s">
        <v>330</v>
      </c>
      <c r="Q72" s="319" t="s">
        <v>69</v>
      </c>
      <c r="R72" s="82"/>
      <c r="S72" s="82" t="s">
        <v>119</v>
      </c>
      <c r="T72" s="82" t="s">
        <v>124</v>
      </c>
      <c r="U72" s="82" t="s">
        <v>84</v>
      </c>
      <c r="V72" s="82" t="s">
        <v>73</v>
      </c>
    </row>
    <row r="73" spans="1:22">
      <c r="A73" s="79" t="s">
        <v>61</v>
      </c>
      <c r="B73" s="79">
        <v>1</v>
      </c>
      <c r="C73" s="255" t="s">
        <v>331</v>
      </c>
      <c r="D73" s="114" t="s">
        <v>332</v>
      </c>
      <c r="E73" s="83" t="s">
        <v>65</v>
      </c>
      <c r="F73" s="85" t="s">
        <v>66</v>
      </c>
      <c r="G73" s="79" t="s">
        <v>317</v>
      </c>
      <c r="H73" s="115" t="s">
        <v>143</v>
      </c>
      <c r="I73" s="116" t="s">
        <v>143</v>
      </c>
      <c r="J73" s="81" t="s">
        <v>7</v>
      </c>
      <c r="K73" s="131"/>
      <c r="L73" s="131"/>
      <c r="M73" s="84" t="s">
        <v>77</v>
      </c>
      <c r="N73" s="87"/>
      <c r="O73" s="86"/>
      <c r="P73" s="148"/>
      <c r="Q73" s="319" t="s">
        <v>69</v>
      </c>
      <c r="R73" s="82"/>
      <c r="S73" s="82" t="s">
        <v>119</v>
      </c>
      <c r="T73" s="82" t="s">
        <v>124</v>
      </c>
      <c r="U73" s="82" t="s">
        <v>72</v>
      </c>
      <c r="V73" s="82" t="s">
        <v>80</v>
      </c>
    </row>
    <row r="74" spans="1:22">
      <c r="A74" s="79" t="s">
        <v>61</v>
      </c>
      <c r="B74" s="79" t="s">
        <v>333</v>
      </c>
      <c r="C74" s="79" t="s">
        <v>334</v>
      </c>
      <c r="D74" s="80" t="s">
        <v>335</v>
      </c>
      <c r="E74" s="83" t="s">
        <v>65</v>
      </c>
      <c r="F74" s="85" t="s">
        <v>66</v>
      </c>
      <c r="G74" s="79" t="s">
        <v>317</v>
      </c>
      <c r="H74" s="79" t="s">
        <v>336</v>
      </c>
      <c r="I74" s="81" t="s">
        <v>336</v>
      </c>
      <c r="J74" s="81"/>
      <c r="K74" s="131"/>
      <c r="L74" s="131"/>
      <c r="M74" s="84" t="s">
        <v>66</v>
      </c>
      <c r="N74" s="87"/>
      <c r="O74" s="86"/>
      <c r="P74" s="148"/>
      <c r="Q74" s="319" t="s">
        <v>77</v>
      </c>
      <c r="R74" s="82"/>
      <c r="S74" s="82" t="s">
        <v>119</v>
      </c>
      <c r="T74" s="82" t="s">
        <v>124</v>
      </c>
      <c r="U74" s="82" t="s">
        <v>72</v>
      </c>
      <c r="V74" s="82" t="s">
        <v>80</v>
      </c>
    </row>
    <row r="75" spans="1:22">
      <c r="A75" s="79" t="s">
        <v>61</v>
      </c>
      <c r="B75" s="113" t="s">
        <v>337</v>
      </c>
      <c r="C75" s="79" t="s">
        <v>337</v>
      </c>
      <c r="D75" s="114" t="s">
        <v>338</v>
      </c>
      <c r="E75" s="83" t="s">
        <v>65</v>
      </c>
      <c r="F75" s="85" t="s">
        <v>66</v>
      </c>
      <c r="G75" s="79" t="s">
        <v>317</v>
      </c>
      <c r="H75" s="115" t="s">
        <v>336</v>
      </c>
      <c r="I75" s="116" t="s">
        <v>336</v>
      </c>
      <c r="J75" s="81"/>
      <c r="K75" s="130"/>
      <c r="L75" s="130"/>
      <c r="M75" s="84" t="s">
        <v>77</v>
      </c>
      <c r="N75" s="87"/>
      <c r="O75" s="86"/>
      <c r="P75" s="148"/>
      <c r="Q75" s="319" t="s">
        <v>69</v>
      </c>
      <c r="R75" s="82"/>
      <c r="S75" s="82" t="s">
        <v>119</v>
      </c>
      <c r="T75" s="82" t="s">
        <v>124</v>
      </c>
      <c r="U75" s="82" t="s">
        <v>84</v>
      </c>
      <c r="V75" s="82" t="s">
        <v>73</v>
      </c>
    </row>
    <row r="76" spans="1:22">
      <c r="A76" s="79" t="s">
        <v>61</v>
      </c>
      <c r="B76" s="79" t="s">
        <v>339</v>
      </c>
      <c r="C76" s="79" t="s">
        <v>340</v>
      </c>
      <c r="D76" s="80" t="s">
        <v>341</v>
      </c>
      <c r="E76" s="83" t="s">
        <v>65</v>
      </c>
      <c r="F76" s="85" t="s">
        <v>66</v>
      </c>
      <c r="G76" s="79" t="s">
        <v>317</v>
      </c>
      <c r="H76" s="79" t="s">
        <v>336</v>
      </c>
      <c r="I76" s="81" t="s">
        <v>336</v>
      </c>
      <c r="J76" s="81"/>
      <c r="K76" s="131"/>
      <c r="L76" s="131"/>
      <c r="M76" s="84" t="s">
        <v>66</v>
      </c>
      <c r="N76" s="87"/>
      <c r="O76" s="86"/>
      <c r="P76" s="148"/>
      <c r="Q76" s="319" t="s">
        <v>77</v>
      </c>
      <c r="R76" s="82"/>
      <c r="S76" s="82" t="s">
        <v>119</v>
      </c>
      <c r="T76" s="82" t="s">
        <v>124</v>
      </c>
      <c r="U76" s="82" t="s">
        <v>72</v>
      </c>
      <c r="V76" s="82" t="s">
        <v>80</v>
      </c>
    </row>
    <row r="77" spans="1:22">
      <c r="A77" s="79" t="s">
        <v>61</v>
      </c>
      <c r="B77" s="79" t="s">
        <v>342</v>
      </c>
      <c r="C77" s="79" t="s">
        <v>343</v>
      </c>
      <c r="D77" s="80" t="s">
        <v>344</v>
      </c>
      <c r="E77" s="83" t="s">
        <v>65</v>
      </c>
      <c r="F77" s="85" t="s">
        <v>66</v>
      </c>
      <c r="G77" s="79" t="s">
        <v>317</v>
      </c>
      <c r="H77" s="79" t="s">
        <v>336</v>
      </c>
      <c r="I77" s="81" t="s">
        <v>336</v>
      </c>
      <c r="J77" s="102" t="s">
        <v>13</v>
      </c>
      <c r="K77" s="131"/>
      <c r="L77" s="131"/>
      <c r="M77" s="84" t="s">
        <v>66</v>
      </c>
      <c r="N77" s="87"/>
      <c r="O77" s="86"/>
      <c r="P77" s="148"/>
      <c r="Q77" s="319" t="s">
        <v>94</v>
      </c>
      <c r="R77" s="82"/>
      <c r="S77" s="82" t="s">
        <v>119</v>
      </c>
      <c r="T77" s="82" t="s">
        <v>124</v>
      </c>
      <c r="U77" s="82" t="s">
        <v>84</v>
      </c>
      <c r="V77" s="82" t="s">
        <v>73</v>
      </c>
    </row>
    <row r="78" spans="1:22">
      <c r="A78" s="79" t="s">
        <v>61</v>
      </c>
      <c r="B78" s="79" t="s">
        <v>345</v>
      </c>
      <c r="C78" s="79" t="s">
        <v>346</v>
      </c>
      <c r="D78" s="80" t="s">
        <v>347</v>
      </c>
      <c r="E78" s="83" t="s">
        <v>65</v>
      </c>
      <c r="F78" s="85" t="s">
        <v>66</v>
      </c>
      <c r="G78" s="79" t="s">
        <v>317</v>
      </c>
      <c r="H78" s="79" t="s">
        <v>336</v>
      </c>
      <c r="I78" s="81" t="s">
        <v>336</v>
      </c>
      <c r="J78" s="81"/>
      <c r="K78" s="131"/>
      <c r="L78" s="131"/>
      <c r="M78" s="84" t="s">
        <v>66</v>
      </c>
      <c r="N78" s="87"/>
      <c r="O78" s="86"/>
      <c r="P78" s="148"/>
      <c r="Q78" s="319" t="s">
        <v>69</v>
      </c>
      <c r="R78" s="82"/>
      <c r="S78" s="82" t="s">
        <v>119</v>
      </c>
      <c r="T78" s="82" t="s">
        <v>124</v>
      </c>
      <c r="U78" s="82" t="s">
        <v>84</v>
      </c>
      <c r="V78" s="82" t="s">
        <v>73</v>
      </c>
    </row>
    <row r="79" spans="1:22">
      <c r="A79" s="79" t="s">
        <v>61</v>
      </c>
      <c r="B79" s="79" t="s">
        <v>348</v>
      </c>
      <c r="C79" s="79" t="s">
        <v>349</v>
      </c>
      <c r="D79" s="80" t="s">
        <v>350</v>
      </c>
      <c r="E79" s="83" t="s">
        <v>65</v>
      </c>
      <c r="F79" s="85" t="s">
        <v>66</v>
      </c>
      <c r="G79" s="79" t="s">
        <v>317</v>
      </c>
      <c r="H79" s="79" t="s">
        <v>143</v>
      </c>
      <c r="I79" s="81" t="s">
        <v>143</v>
      </c>
      <c r="J79" s="81" t="s">
        <v>7</v>
      </c>
      <c r="K79" s="131"/>
      <c r="L79" s="131"/>
      <c r="M79" s="84" t="s">
        <v>66</v>
      </c>
      <c r="N79" s="87"/>
      <c r="O79" s="86"/>
      <c r="P79" s="148"/>
      <c r="Q79" s="319" t="s">
        <v>94</v>
      </c>
      <c r="R79" s="82"/>
      <c r="S79" s="82" t="s">
        <v>119</v>
      </c>
      <c r="T79" s="82" t="s">
        <v>124</v>
      </c>
      <c r="U79" s="82" t="s">
        <v>72</v>
      </c>
      <c r="V79" s="82" t="s">
        <v>80</v>
      </c>
    </row>
    <row r="80" spans="1:22">
      <c r="A80" s="79" t="s">
        <v>61</v>
      </c>
      <c r="B80" s="113" t="s">
        <v>351</v>
      </c>
      <c r="C80" s="79" t="s">
        <v>352</v>
      </c>
      <c r="D80" s="114" t="s">
        <v>353</v>
      </c>
      <c r="E80" s="83" t="s">
        <v>65</v>
      </c>
      <c r="F80" s="85" t="s">
        <v>66</v>
      </c>
      <c r="G80" s="79" t="s">
        <v>317</v>
      </c>
      <c r="H80" s="115" t="s">
        <v>336</v>
      </c>
      <c r="I80" s="116" t="s">
        <v>336</v>
      </c>
      <c r="J80" s="81" t="s">
        <v>7</v>
      </c>
      <c r="K80" s="131"/>
      <c r="L80" s="131"/>
      <c r="M80" s="84" t="s">
        <v>66</v>
      </c>
      <c r="N80" s="87"/>
      <c r="O80" s="86"/>
      <c r="P80" s="148"/>
      <c r="Q80" s="319" t="s">
        <v>69</v>
      </c>
      <c r="R80" s="82"/>
      <c r="S80" s="82" t="s">
        <v>119</v>
      </c>
      <c r="T80" s="82" t="s">
        <v>124</v>
      </c>
      <c r="U80" s="82" t="s">
        <v>84</v>
      </c>
      <c r="V80" s="82" t="s">
        <v>73</v>
      </c>
    </row>
    <row r="81" spans="1:22">
      <c r="A81" s="79" t="s">
        <v>61</v>
      </c>
      <c r="B81" s="79" t="s">
        <v>354</v>
      </c>
      <c r="C81" s="79" t="s">
        <v>355</v>
      </c>
      <c r="D81" s="80" t="s">
        <v>356</v>
      </c>
      <c r="E81" s="83" t="s">
        <v>65</v>
      </c>
      <c r="F81" s="85" t="s">
        <v>66</v>
      </c>
      <c r="G81" s="79" t="s">
        <v>317</v>
      </c>
      <c r="H81" s="79" t="s">
        <v>336</v>
      </c>
      <c r="I81" s="81" t="s">
        <v>336</v>
      </c>
      <c r="J81" s="81"/>
      <c r="K81" s="131"/>
      <c r="L81" s="131"/>
      <c r="M81" s="84" t="s">
        <v>66</v>
      </c>
      <c r="N81" s="87"/>
      <c r="O81" s="86"/>
      <c r="P81" s="148"/>
      <c r="Q81" s="319" t="s">
        <v>94</v>
      </c>
      <c r="R81" s="82"/>
      <c r="S81" s="82" t="s">
        <v>119</v>
      </c>
      <c r="T81" s="82" t="s">
        <v>120</v>
      </c>
      <c r="U81" s="82" t="s">
        <v>72</v>
      </c>
      <c r="V81" s="82" t="s">
        <v>80</v>
      </c>
    </row>
    <row r="82" spans="1:22">
      <c r="A82" s="79" t="s">
        <v>61</v>
      </c>
      <c r="B82" s="79" t="s">
        <v>357</v>
      </c>
      <c r="C82" s="79" t="s">
        <v>358</v>
      </c>
      <c r="D82" s="80" t="s">
        <v>359</v>
      </c>
      <c r="E82" s="83" t="s">
        <v>65</v>
      </c>
      <c r="F82" s="85" t="s">
        <v>66</v>
      </c>
      <c r="G82" s="79" t="s">
        <v>317</v>
      </c>
      <c r="H82" s="79" t="s">
        <v>143</v>
      </c>
      <c r="I82" s="81" t="s">
        <v>143</v>
      </c>
      <c r="J82" s="81" t="s">
        <v>1</v>
      </c>
      <c r="K82" s="131"/>
      <c r="L82" s="131"/>
      <c r="M82" s="84" t="s">
        <v>66</v>
      </c>
      <c r="N82" s="87"/>
      <c r="O82" s="86"/>
      <c r="P82" s="148"/>
      <c r="Q82" s="319" t="s">
        <v>94</v>
      </c>
      <c r="R82" s="82"/>
      <c r="S82" s="82" t="s">
        <v>119</v>
      </c>
      <c r="T82" s="82" t="s">
        <v>124</v>
      </c>
      <c r="U82" s="82" t="s">
        <v>72</v>
      </c>
      <c r="V82" s="82" t="s">
        <v>80</v>
      </c>
    </row>
    <row r="83" spans="1:22">
      <c r="A83" s="79" t="s">
        <v>61</v>
      </c>
      <c r="B83" s="79" t="s">
        <v>360</v>
      </c>
      <c r="C83" s="79" t="s">
        <v>361</v>
      </c>
      <c r="D83" s="80" t="s">
        <v>362</v>
      </c>
      <c r="E83" s="83" t="s">
        <v>65</v>
      </c>
      <c r="F83" s="85" t="s">
        <v>77</v>
      </c>
      <c r="G83" s="79" t="s">
        <v>363</v>
      </c>
      <c r="H83" s="79" t="s">
        <v>364</v>
      </c>
      <c r="I83" s="81" t="s">
        <v>364</v>
      </c>
      <c r="J83" s="81"/>
      <c r="K83" s="131"/>
      <c r="L83" s="131"/>
      <c r="M83" s="84" t="s">
        <v>77</v>
      </c>
      <c r="N83" s="87">
        <v>46115</v>
      </c>
      <c r="O83" s="86">
        <v>46119</v>
      </c>
      <c r="P83" s="148"/>
      <c r="Q83" s="319" t="s">
        <v>89</v>
      </c>
      <c r="R83" s="82"/>
      <c r="S83" s="82" t="s">
        <v>70</v>
      </c>
      <c r="T83" s="82" t="s">
        <v>79</v>
      </c>
      <c r="U83" s="82" t="s">
        <v>84</v>
      </c>
      <c r="V83" s="82" t="s">
        <v>73</v>
      </c>
    </row>
    <row r="84" spans="1:22">
      <c r="A84" s="79" t="s">
        <v>61</v>
      </c>
      <c r="B84" s="79" t="s">
        <v>365</v>
      </c>
      <c r="C84" s="79" t="s">
        <v>366</v>
      </c>
      <c r="D84" s="80" t="s">
        <v>367</v>
      </c>
      <c r="E84" s="83" t="s">
        <v>65</v>
      </c>
      <c r="F84" s="85" t="s">
        <v>77</v>
      </c>
      <c r="G84" s="79" t="s">
        <v>363</v>
      </c>
      <c r="H84" s="79" t="s">
        <v>368</v>
      </c>
      <c r="I84" s="81" t="s">
        <v>368</v>
      </c>
      <c r="J84" s="81"/>
      <c r="K84" s="131"/>
      <c r="L84" s="131"/>
      <c r="M84" s="84" t="s">
        <v>77</v>
      </c>
      <c r="N84" s="87"/>
      <c r="O84" s="86"/>
      <c r="P84" s="148"/>
      <c r="Q84" s="319" t="s">
        <v>77</v>
      </c>
      <c r="R84" s="82"/>
      <c r="S84" s="82" t="s">
        <v>70</v>
      </c>
      <c r="T84" s="82" t="s">
        <v>369</v>
      </c>
      <c r="U84" s="82" t="s">
        <v>84</v>
      </c>
      <c r="V84" s="82" t="s">
        <v>73</v>
      </c>
    </row>
    <row r="85" spans="1:22">
      <c r="A85" s="79" t="s">
        <v>61</v>
      </c>
      <c r="B85" s="79" t="s">
        <v>370</v>
      </c>
      <c r="C85" s="79" t="s">
        <v>371</v>
      </c>
      <c r="D85" s="80" t="s">
        <v>372</v>
      </c>
      <c r="E85" s="83" t="s">
        <v>65</v>
      </c>
      <c r="F85" s="85" t="s">
        <v>66</v>
      </c>
      <c r="G85" s="79" t="s">
        <v>363</v>
      </c>
      <c r="H85" s="79" t="s">
        <v>368</v>
      </c>
      <c r="I85" s="81" t="s">
        <v>368</v>
      </c>
      <c r="J85" s="81"/>
      <c r="K85" s="131"/>
      <c r="L85" s="131"/>
      <c r="M85" s="84" t="s">
        <v>66</v>
      </c>
      <c r="N85" s="87"/>
      <c r="O85" s="86"/>
      <c r="P85" s="148"/>
      <c r="Q85" s="319" t="s">
        <v>89</v>
      </c>
      <c r="R85" s="82"/>
      <c r="S85" s="82" t="s">
        <v>70</v>
      </c>
      <c r="T85" s="82" t="s">
        <v>369</v>
      </c>
      <c r="U85" s="82" t="s">
        <v>72</v>
      </c>
      <c r="V85" s="82" t="s">
        <v>80</v>
      </c>
    </row>
    <row r="86" spans="1:22">
      <c r="A86" s="79" t="s">
        <v>61</v>
      </c>
      <c r="B86" s="79" t="s">
        <v>373</v>
      </c>
      <c r="C86" s="79" t="s">
        <v>374</v>
      </c>
      <c r="D86" s="80" t="s">
        <v>375</v>
      </c>
      <c r="E86" s="83" t="s">
        <v>65</v>
      </c>
      <c r="F86" s="85" t="s">
        <v>66</v>
      </c>
      <c r="G86" s="79" t="s">
        <v>363</v>
      </c>
      <c r="H86" s="79" t="s">
        <v>368</v>
      </c>
      <c r="I86" s="81" t="s">
        <v>368</v>
      </c>
      <c r="J86" s="81" t="s">
        <v>7</v>
      </c>
      <c r="K86" s="131"/>
      <c r="L86" s="131"/>
      <c r="M86" s="84" t="s">
        <v>66</v>
      </c>
      <c r="N86" s="87"/>
      <c r="O86" s="86"/>
      <c r="P86" s="148"/>
      <c r="Q86" s="319" t="s">
        <v>89</v>
      </c>
      <c r="R86" s="82"/>
      <c r="S86" s="82" t="s">
        <v>70</v>
      </c>
      <c r="T86" s="82" t="s">
        <v>369</v>
      </c>
    </row>
    <row r="87" spans="1:22">
      <c r="A87" s="79" t="s">
        <v>61</v>
      </c>
      <c r="B87" s="79" t="s">
        <v>376</v>
      </c>
      <c r="C87" s="79" t="s">
        <v>377</v>
      </c>
      <c r="D87" s="80" t="s">
        <v>378</v>
      </c>
      <c r="E87" s="83" t="s">
        <v>65</v>
      </c>
      <c r="F87" s="85" t="s">
        <v>66</v>
      </c>
      <c r="G87" s="79" t="s">
        <v>363</v>
      </c>
      <c r="H87" s="79" t="s">
        <v>368</v>
      </c>
      <c r="I87" s="81" t="s">
        <v>368</v>
      </c>
      <c r="J87" s="81" t="s">
        <v>7</v>
      </c>
      <c r="K87" s="131"/>
      <c r="L87" s="131"/>
      <c r="M87" s="84" t="s">
        <v>66</v>
      </c>
      <c r="N87" s="87"/>
      <c r="O87" s="86"/>
      <c r="P87" s="148"/>
      <c r="Q87" s="319" t="s">
        <v>89</v>
      </c>
      <c r="R87" s="82"/>
      <c r="S87" s="82" t="s">
        <v>70</v>
      </c>
      <c r="T87" s="82" t="s">
        <v>369</v>
      </c>
    </row>
    <row r="88" spans="1:22">
      <c r="A88" s="79" t="s">
        <v>61</v>
      </c>
      <c r="B88" s="79">
        <v>9</v>
      </c>
      <c r="C88" s="113" t="s">
        <v>379</v>
      </c>
      <c r="D88" s="114" t="s">
        <v>380</v>
      </c>
      <c r="E88" s="83" t="s">
        <v>65</v>
      </c>
      <c r="F88" s="85" t="s">
        <v>77</v>
      </c>
      <c r="G88" s="79" t="s">
        <v>363</v>
      </c>
      <c r="H88" s="79" t="s">
        <v>368</v>
      </c>
      <c r="I88" s="81" t="s">
        <v>368</v>
      </c>
      <c r="J88" s="81"/>
      <c r="K88" s="131"/>
      <c r="L88" s="131" t="s">
        <v>193</v>
      </c>
      <c r="M88" s="84" t="s">
        <v>77</v>
      </c>
      <c r="N88" s="87"/>
      <c r="O88" s="86"/>
      <c r="P88" s="148" t="s">
        <v>381</v>
      </c>
      <c r="Q88" s="319" t="s">
        <v>77</v>
      </c>
      <c r="R88" s="82"/>
      <c r="S88" s="82" t="s">
        <v>70</v>
      </c>
      <c r="T88" s="82" t="s">
        <v>369</v>
      </c>
    </row>
    <row r="89" spans="1:22">
      <c r="A89" s="79" t="s">
        <v>61</v>
      </c>
      <c r="B89" s="79" t="s">
        <v>382</v>
      </c>
      <c r="C89" s="79" t="s">
        <v>383</v>
      </c>
      <c r="D89" s="80" t="s">
        <v>384</v>
      </c>
      <c r="E89" s="83" t="s">
        <v>65</v>
      </c>
      <c r="F89" s="85" t="s">
        <v>66</v>
      </c>
      <c r="G89" s="79" t="s">
        <v>363</v>
      </c>
      <c r="H89" s="79" t="s">
        <v>364</v>
      </c>
      <c r="I89" s="109" t="s">
        <v>364</v>
      </c>
      <c r="J89" s="81"/>
      <c r="K89" s="131"/>
      <c r="L89" s="131"/>
      <c r="M89" s="84" t="s">
        <v>66</v>
      </c>
      <c r="N89" s="87"/>
      <c r="O89" s="86"/>
      <c r="P89" s="148"/>
      <c r="Q89" s="319" t="s">
        <v>89</v>
      </c>
      <c r="R89" s="82"/>
      <c r="S89" s="82" t="s">
        <v>70</v>
      </c>
      <c r="T89" s="82" t="s">
        <v>79</v>
      </c>
    </row>
    <row r="90" spans="1:22">
      <c r="A90" s="79" t="s">
        <v>61</v>
      </c>
      <c r="B90" s="79" t="s">
        <v>385</v>
      </c>
      <c r="C90" s="79" t="s">
        <v>386</v>
      </c>
      <c r="D90" s="80" t="s">
        <v>387</v>
      </c>
      <c r="E90" s="83" t="s">
        <v>65</v>
      </c>
      <c r="F90" s="85" t="s">
        <v>66</v>
      </c>
      <c r="G90" s="79" t="s">
        <v>363</v>
      </c>
      <c r="H90" s="79" t="s">
        <v>364</v>
      </c>
      <c r="I90" s="81" t="s">
        <v>364</v>
      </c>
      <c r="J90" s="81" t="s">
        <v>7</v>
      </c>
      <c r="K90" s="131"/>
      <c r="L90" s="131"/>
      <c r="M90" s="84" t="s">
        <v>66</v>
      </c>
      <c r="N90" s="87"/>
      <c r="O90" s="86"/>
      <c r="P90" s="148"/>
      <c r="Q90" s="319" t="s">
        <v>89</v>
      </c>
      <c r="R90" s="82"/>
      <c r="S90" s="82" t="s">
        <v>70</v>
      </c>
      <c r="T90" s="82" t="s">
        <v>79</v>
      </c>
    </row>
    <row r="91" spans="1:22">
      <c r="A91" s="79" t="s">
        <v>61</v>
      </c>
      <c r="B91" s="79" t="s">
        <v>388</v>
      </c>
      <c r="C91" s="79" t="s">
        <v>389</v>
      </c>
      <c r="D91" s="80" t="s">
        <v>390</v>
      </c>
      <c r="E91" s="83" t="s">
        <v>65</v>
      </c>
      <c r="F91" s="85" t="s">
        <v>77</v>
      </c>
      <c r="G91" s="79" t="s">
        <v>363</v>
      </c>
      <c r="H91" s="79" t="s">
        <v>364</v>
      </c>
      <c r="I91" s="81" t="s">
        <v>364</v>
      </c>
      <c r="J91" s="81"/>
      <c r="K91" s="131"/>
      <c r="L91" s="131"/>
      <c r="M91" s="84" t="s">
        <v>77</v>
      </c>
      <c r="N91" s="87"/>
      <c r="O91" s="86"/>
      <c r="P91" s="148"/>
      <c r="Q91" s="319" t="s">
        <v>77</v>
      </c>
      <c r="R91" s="82"/>
      <c r="S91" s="82" t="s">
        <v>70</v>
      </c>
      <c r="T91" s="82" t="s">
        <v>391</v>
      </c>
    </row>
    <row r="92" spans="1:22">
      <c r="A92" s="79" t="s">
        <v>61</v>
      </c>
      <c r="B92" s="79" t="s">
        <v>392</v>
      </c>
      <c r="C92" s="156" t="s">
        <v>393</v>
      </c>
      <c r="D92" s="80" t="s">
        <v>394</v>
      </c>
      <c r="E92" s="83" t="s">
        <v>65</v>
      </c>
      <c r="F92" s="85" t="s">
        <v>77</v>
      </c>
      <c r="G92" s="79" t="s">
        <v>363</v>
      </c>
      <c r="H92" s="79" t="s">
        <v>364</v>
      </c>
      <c r="I92" s="81" t="s">
        <v>364</v>
      </c>
      <c r="J92" s="81"/>
      <c r="K92" s="131"/>
      <c r="L92" s="131"/>
      <c r="M92" s="84" t="s">
        <v>77</v>
      </c>
      <c r="N92" s="87"/>
      <c r="O92" s="86"/>
      <c r="P92" s="148"/>
      <c r="Q92" s="319" t="s">
        <v>77</v>
      </c>
      <c r="R92" s="82"/>
      <c r="S92" s="82" t="s">
        <v>70</v>
      </c>
      <c r="T92" s="82" t="s">
        <v>205</v>
      </c>
    </row>
    <row r="93" spans="1:22">
      <c r="A93" s="79" t="s">
        <v>61</v>
      </c>
      <c r="B93" s="79" t="s">
        <v>395</v>
      </c>
      <c r="C93" s="156" t="s">
        <v>396</v>
      </c>
      <c r="D93" s="80" t="s">
        <v>397</v>
      </c>
      <c r="E93" s="83" t="s">
        <v>65</v>
      </c>
      <c r="F93" s="85" t="s">
        <v>66</v>
      </c>
      <c r="G93" s="79" t="s">
        <v>363</v>
      </c>
      <c r="H93" s="79" t="s">
        <v>364</v>
      </c>
      <c r="I93" s="81" t="s">
        <v>364</v>
      </c>
      <c r="J93" s="81" t="s">
        <v>7</v>
      </c>
      <c r="K93" s="131"/>
      <c r="L93" s="131"/>
      <c r="M93" s="84" t="s">
        <v>66</v>
      </c>
      <c r="N93" s="87"/>
      <c r="O93" s="86"/>
      <c r="P93" s="148"/>
      <c r="Q93" s="319" t="s">
        <v>77</v>
      </c>
      <c r="R93" s="82"/>
      <c r="S93" s="82" t="s">
        <v>70</v>
      </c>
      <c r="T93" s="82" t="s">
        <v>79</v>
      </c>
    </row>
    <row r="94" spans="1:22">
      <c r="A94" s="79" t="s">
        <v>61</v>
      </c>
      <c r="B94" s="113" t="s">
        <v>398</v>
      </c>
      <c r="C94" s="259" t="s">
        <v>399</v>
      </c>
      <c r="D94" s="114" t="s">
        <v>400</v>
      </c>
      <c r="E94" s="83" t="s">
        <v>65</v>
      </c>
      <c r="F94" s="85" t="s">
        <v>77</v>
      </c>
      <c r="G94" s="79" t="s">
        <v>363</v>
      </c>
      <c r="H94" s="79" t="s">
        <v>364</v>
      </c>
      <c r="I94" s="81" t="s">
        <v>364</v>
      </c>
      <c r="J94" s="81" t="s">
        <v>7</v>
      </c>
      <c r="K94" s="131"/>
      <c r="L94" s="131"/>
      <c r="M94" s="84" t="s">
        <v>77</v>
      </c>
      <c r="N94" s="87"/>
      <c r="O94" s="86"/>
      <c r="P94" s="148"/>
      <c r="Q94" s="319" t="s">
        <v>77</v>
      </c>
      <c r="R94" s="82"/>
      <c r="S94" s="82" t="s">
        <v>70</v>
      </c>
      <c r="T94" s="82" t="s">
        <v>79</v>
      </c>
    </row>
    <row r="95" spans="1:22">
      <c r="A95" s="79" t="s">
        <v>61</v>
      </c>
      <c r="B95" s="79" t="s">
        <v>401</v>
      </c>
      <c r="C95" s="79" t="s">
        <v>402</v>
      </c>
      <c r="D95" s="80" t="s">
        <v>403</v>
      </c>
      <c r="E95" s="83" t="s">
        <v>65</v>
      </c>
      <c r="F95" s="85" t="s">
        <v>77</v>
      </c>
      <c r="G95" s="79" t="s">
        <v>363</v>
      </c>
      <c r="H95" s="79" t="s">
        <v>364</v>
      </c>
      <c r="I95" s="81" t="s">
        <v>364</v>
      </c>
      <c r="J95" s="81"/>
      <c r="K95" s="131"/>
      <c r="L95" s="131"/>
      <c r="M95" s="84" t="s">
        <v>77</v>
      </c>
      <c r="N95" s="87"/>
      <c r="O95" s="86"/>
      <c r="P95" s="148"/>
      <c r="Q95" s="319" t="s">
        <v>221</v>
      </c>
      <c r="R95" s="82"/>
      <c r="S95" s="82" t="s">
        <v>70</v>
      </c>
      <c r="T95" s="82" t="s">
        <v>79</v>
      </c>
    </row>
    <row r="96" spans="1:22">
      <c r="A96" s="79" t="s">
        <v>61</v>
      </c>
      <c r="B96" s="79" t="s">
        <v>404</v>
      </c>
      <c r="C96" s="79">
        <v>10</v>
      </c>
      <c r="D96" s="80" t="s">
        <v>405</v>
      </c>
      <c r="E96" s="178" t="s">
        <v>406</v>
      </c>
      <c r="F96" s="85" t="s">
        <v>77</v>
      </c>
      <c r="G96" s="79" t="s">
        <v>363</v>
      </c>
      <c r="H96" s="115" t="s">
        <v>364</v>
      </c>
      <c r="I96" s="81" t="s">
        <v>364</v>
      </c>
      <c r="J96" s="81" t="s">
        <v>17</v>
      </c>
      <c r="K96" s="131" t="s">
        <v>17</v>
      </c>
      <c r="L96" s="131" t="s">
        <v>193</v>
      </c>
      <c r="M96" s="84" t="s">
        <v>77</v>
      </c>
      <c r="N96" s="87"/>
      <c r="O96" s="86"/>
      <c r="P96" s="148" t="s">
        <v>407</v>
      </c>
      <c r="Q96" s="319" t="s">
        <v>77</v>
      </c>
      <c r="R96" s="82"/>
      <c r="S96" s="82" t="s">
        <v>70</v>
      </c>
      <c r="T96" s="82" t="s">
        <v>79</v>
      </c>
    </row>
    <row r="97" spans="1:20">
      <c r="A97" s="79" t="s">
        <v>61</v>
      </c>
      <c r="B97" s="79" t="s">
        <v>408</v>
      </c>
      <c r="C97" s="79" t="s">
        <v>409</v>
      </c>
      <c r="D97" s="80" t="s">
        <v>410</v>
      </c>
      <c r="E97" s="83" t="s">
        <v>65</v>
      </c>
      <c r="F97" s="85" t="s">
        <v>66</v>
      </c>
      <c r="G97" s="79" t="s">
        <v>363</v>
      </c>
      <c r="H97" s="79" t="s">
        <v>368</v>
      </c>
      <c r="I97" s="81" t="s">
        <v>368</v>
      </c>
      <c r="J97" s="81" t="s">
        <v>7</v>
      </c>
      <c r="K97" s="131"/>
      <c r="L97" s="131"/>
      <c r="M97" s="84" t="s">
        <v>66</v>
      </c>
      <c r="N97" s="87">
        <v>46125</v>
      </c>
      <c r="O97" s="86">
        <v>46127</v>
      </c>
      <c r="P97" s="148"/>
      <c r="Q97" s="319" t="s">
        <v>252</v>
      </c>
      <c r="R97" s="82"/>
      <c r="S97" s="82" t="s">
        <v>70</v>
      </c>
      <c r="T97" s="82" t="s">
        <v>369</v>
      </c>
    </row>
    <row r="98" spans="1:20">
      <c r="A98" s="79" t="s">
        <v>61</v>
      </c>
      <c r="B98" s="79" t="s">
        <v>411</v>
      </c>
      <c r="C98" s="79" t="s">
        <v>412</v>
      </c>
      <c r="D98" s="80" t="s">
        <v>413</v>
      </c>
      <c r="E98" s="83" t="s">
        <v>65</v>
      </c>
      <c r="F98" s="85" t="s">
        <v>88</v>
      </c>
      <c r="G98" s="79" t="s">
        <v>414</v>
      </c>
      <c r="H98" s="79" t="s">
        <v>415</v>
      </c>
      <c r="I98" s="81" t="s">
        <v>415</v>
      </c>
      <c r="J98" s="81" t="s">
        <v>7</v>
      </c>
      <c r="K98" s="131"/>
      <c r="L98" s="131"/>
      <c r="M98" s="84" t="s">
        <v>88</v>
      </c>
      <c r="N98" s="87"/>
      <c r="O98" s="86"/>
      <c r="P98" s="148"/>
      <c r="Q98" s="319" t="s">
        <v>94</v>
      </c>
      <c r="R98" s="82"/>
      <c r="S98" s="82" t="s">
        <v>70</v>
      </c>
      <c r="T98" s="82" t="s">
        <v>209</v>
      </c>
    </row>
    <row r="99" spans="1:20">
      <c r="A99" s="79" t="s">
        <v>61</v>
      </c>
      <c r="B99" s="79" t="s">
        <v>416</v>
      </c>
      <c r="C99" s="79" t="s">
        <v>417</v>
      </c>
      <c r="D99" s="80" t="s">
        <v>418</v>
      </c>
      <c r="E99" s="83" t="s">
        <v>65</v>
      </c>
      <c r="F99" s="85" t="s">
        <v>66</v>
      </c>
      <c r="G99" s="79" t="s">
        <v>414</v>
      </c>
      <c r="H99" s="79" t="s">
        <v>415</v>
      </c>
      <c r="I99" s="81" t="s">
        <v>415</v>
      </c>
      <c r="J99" s="81"/>
      <c r="K99" s="131"/>
      <c r="L99" s="131"/>
      <c r="M99" s="84" t="s">
        <v>66</v>
      </c>
      <c r="N99" s="87"/>
      <c r="O99" s="86"/>
      <c r="P99" s="148" t="s">
        <v>220</v>
      </c>
      <c r="Q99" s="319" t="s">
        <v>69</v>
      </c>
      <c r="R99" s="82"/>
      <c r="S99" s="82" t="s">
        <v>70</v>
      </c>
      <c r="T99" s="82" t="s">
        <v>209</v>
      </c>
    </row>
    <row r="100" spans="1:20">
      <c r="A100" s="79" t="s">
        <v>61</v>
      </c>
      <c r="B100" s="79" t="s">
        <v>419</v>
      </c>
      <c r="C100" s="79" t="s">
        <v>420</v>
      </c>
      <c r="D100" s="80" t="s">
        <v>421</v>
      </c>
      <c r="E100" s="83" t="s">
        <v>65</v>
      </c>
      <c r="F100" s="85" t="s">
        <v>77</v>
      </c>
      <c r="G100" s="79" t="s">
        <v>414</v>
      </c>
      <c r="H100" s="79" t="s">
        <v>415</v>
      </c>
      <c r="I100" s="109" t="s">
        <v>415</v>
      </c>
      <c r="J100" s="81"/>
      <c r="K100" s="131"/>
      <c r="L100" s="131"/>
      <c r="M100" s="84" t="s">
        <v>77</v>
      </c>
      <c r="N100" s="87"/>
      <c r="O100" s="86"/>
      <c r="P100" s="148"/>
      <c r="Q100" s="319" t="s">
        <v>77</v>
      </c>
      <c r="R100" s="82"/>
      <c r="S100" s="82" t="s">
        <v>70</v>
      </c>
      <c r="T100" s="82" t="s">
        <v>209</v>
      </c>
    </row>
    <row r="101" spans="1:20">
      <c r="A101" s="79" t="s">
        <v>61</v>
      </c>
      <c r="B101" s="79" t="s">
        <v>422</v>
      </c>
      <c r="C101" s="79" t="s">
        <v>423</v>
      </c>
      <c r="D101" s="80" t="s">
        <v>424</v>
      </c>
      <c r="E101" s="83" t="s">
        <v>65</v>
      </c>
      <c r="F101" s="85" t="s">
        <v>88</v>
      </c>
      <c r="G101" s="79" t="s">
        <v>414</v>
      </c>
      <c r="H101" s="79" t="s">
        <v>415</v>
      </c>
      <c r="I101" s="81" t="s">
        <v>415</v>
      </c>
      <c r="J101" s="81"/>
      <c r="K101" s="131"/>
      <c r="L101" s="131"/>
      <c r="M101" s="84" t="s">
        <v>88</v>
      </c>
      <c r="N101" s="87"/>
      <c r="O101" s="86"/>
      <c r="P101" s="148"/>
      <c r="Q101" s="319" t="s">
        <v>94</v>
      </c>
      <c r="R101" s="82"/>
      <c r="S101" s="82" t="s">
        <v>70</v>
      </c>
      <c r="T101" s="82" t="s">
        <v>209</v>
      </c>
    </row>
    <row r="102" spans="1:20">
      <c r="A102" s="79" t="s">
        <v>61</v>
      </c>
      <c r="B102" s="79" t="s">
        <v>425</v>
      </c>
      <c r="C102" s="79" t="s">
        <v>426</v>
      </c>
      <c r="D102" s="114" t="s">
        <v>427</v>
      </c>
      <c r="E102" s="83" t="s">
        <v>65</v>
      </c>
      <c r="F102" s="85" t="s">
        <v>77</v>
      </c>
      <c r="G102" s="79" t="s">
        <v>414</v>
      </c>
      <c r="H102" s="115" t="s">
        <v>415</v>
      </c>
      <c r="I102" s="81" t="s">
        <v>415</v>
      </c>
      <c r="J102" s="81"/>
      <c r="K102" s="131"/>
      <c r="L102" s="131"/>
      <c r="M102" s="84" t="s">
        <v>77</v>
      </c>
      <c r="N102" s="87"/>
      <c r="O102" s="86"/>
      <c r="P102" s="148" t="s">
        <v>159</v>
      </c>
      <c r="Q102" s="319" t="s">
        <v>77</v>
      </c>
      <c r="R102" s="82"/>
      <c r="S102" s="82" t="s">
        <v>70</v>
      </c>
      <c r="T102" s="82" t="s">
        <v>209</v>
      </c>
    </row>
    <row r="103" spans="1:20">
      <c r="A103" s="79" t="s">
        <v>61</v>
      </c>
      <c r="B103" s="79" t="s">
        <v>428</v>
      </c>
      <c r="C103" s="79" t="s">
        <v>429</v>
      </c>
      <c r="D103" s="80" t="s">
        <v>430</v>
      </c>
      <c r="E103" s="83" t="s">
        <v>65</v>
      </c>
      <c r="F103" s="85" t="s">
        <v>66</v>
      </c>
      <c r="G103" s="79" t="s">
        <v>414</v>
      </c>
      <c r="H103" s="79" t="s">
        <v>415</v>
      </c>
      <c r="I103" s="81" t="s">
        <v>415</v>
      </c>
      <c r="J103" s="81"/>
      <c r="K103" s="131"/>
      <c r="L103" s="131"/>
      <c r="M103" s="84" t="s">
        <v>66</v>
      </c>
      <c r="N103" s="87"/>
      <c r="O103" s="86"/>
      <c r="P103" s="148"/>
      <c r="Q103" s="319" t="s">
        <v>94</v>
      </c>
      <c r="R103" s="82"/>
      <c r="S103" s="82" t="s">
        <v>70</v>
      </c>
      <c r="T103" s="82" t="s">
        <v>209</v>
      </c>
    </row>
    <row r="104" spans="1:20">
      <c r="A104" s="79" t="s">
        <v>61</v>
      </c>
      <c r="B104" s="79" t="s">
        <v>431</v>
      </c>
      <c r="C104" s="79" t="s">
        <v>432</v>
      </c>
      <c r="D104" s="80" t="s">
        <v>433</v>
      </c>
      <c r="E104" s="83" t="s">
        <v>65</v>
      </c>
      <c r="F104" s="85" t="s">
        <v>77</v>
      </c>
      <c r="G104" s="79" t="s">
        <v>414</v>
      </c>
      <c r="H104" s="79" t="s">
        <v>415</v>
      </c>
      <c r="I104" s="81" t="s">
        <v>415</v>
      </c>
      <c r="J104" s="81"/>
      <c r="K104" s="131"/>
      <c r="L104" s="131"/>
      <c r="M104" s="84" t="s">
        <v>77</v>
      </c>
      <c r="N104" s="87"/>
      <c r="O104" s="86"/>
      <c r="P104" s="148"/>
      <c r="Q104" s="319" t="s">
        <v>77</v>
      </c>
      <c r="R104" s="82"/>
      <c r="S104" s="82" t="s">
        <v>70</v>
      </c>
      <c r="T104" s="82" t="s">
        <v>209</v>
      </c>
    </row>
    <row r="105" spans="1:20">
      <c r="A105" s="79" t="s">
        <v>61</v>
      </c>
      <c r="B105" s="79" t="s">
        <v>434</v>
      </c>
      <c r="C105" s="79" t="s">
        <v>435</v>
      </c>
      <c r="D105" s="80" t="s">
        <v>436</v>
      </c>
      <c r="E105" s="83" t="s">
        <v>65</v>
      </c>
      <c r="F105" s="85" t="s">
        <v>66</v>
      </c>
      <c r="G105" s="79" t="s">
        <v>414</v>
      </c>
      <c r="H105" s="79" t="s">
        <v>415</v>
      </c>
      <c r="I105" s="81" t="s">
        <v>415</v>
      </c>
      <c r="J105" s="81"/>
      <c r="K105" s="131"/>
      <c r="L105" s="131"/>
      <c r="M105" s="84" t="s">
        <v>66</v>
      </c>
      <c r="N105" s="87"/>
      <c r="O105" s="86"/>
      <c r="P105" s="148"/>
      <c r="Q105" s="319" t="s">
        <v>94</v>
      </c>
      <c r="R105" s="82"/>
      <c r="S105" s="82" t="s">
        <v>70</v>
      </c>
      <c r="T105" s="82" t="s">
        <v>209</v>
      </c>
    </row>
    <row r="106" spans="1:20">
      <c r="A106" s="79" t="s">
        <v>61</v>
      </c>
      <c r="B106" s="113" t="s">
        <v>437</v>
      </c>
      <c r="C106" s="79" t="s">
        <v>438</v>
      </c>
      <c r="D106" s="114" t="s">
        <v>439</v>
      </c>
      <c r="E106" s="83" t="s">
        <v>65</v>
      </c>
      <c r="F106" s="85" t="s">
        <v>77</v>
      </c>
      <c r="G106" s="79" t="s">
        <v>414</v>
      </c>
      <c r="H106" s="115" t="s">
        <v>415</v>
      </c>
      <c r="I106" s="81" t="s">
        <v>415</v>
      </c>
      <c r="J106" s="81"/>
      <c r="K106" s="131"/>
      <c r="L106" s="131"/>
      <c r="M106" s="84" t="s">
        <v>77</v>
      </c>
      <c r="N106" s="87"/>
      <c r="O106" s="86"/>
      <c r="P106" s="148"/>
      <c r="Q106" s="319" t="s">
        <v>77</v>
      </c>
      <c r="R106" s="82"/>
      <c r="S106" s="82" t="s">
        <v>70</v>
      </c>
      <c r="T106" s="82" t="s">
        <v>209</v>
      </c>
    </row>
    <row r="107" spans="1:20">
      <c r="A107" s="79" t="s">
        <v>61</v>
      </c>
      <c r="B107" s="79" t="s">
        <v>440</v>
      </c>
      <c r="C107" s="79" t="s">
        <v>441</v>
      </c>
      <c r="D107" s="80" t="s">
        <v>442</v>
      </c>
      <c r="E107" s="83" t="s">
        <v>65</v>
      </c>
      <c r="F107" s="85" t="s">
        <v>77</v>
      </c>
      <c r="G107" s="79" t="s">
        <v>414</v>
      </c>
      <c r="H107" s="79" t="s">
        <v>415</v>
      </c>
      <c r="I107" s="81" t="s">
        <v>415</v>
      </c>
      <c r="J107" s="81" t="s">
        <v>7</v>
      </c>
      <c r="K107" s="131"/>
      <c r="L107" s="131"/>
      <c r="M107" s="84" t="s">
        <v>77</v>
      </c>
      <c r="N107" s="87"/>
      <c r="O107" s="86"/>
      <c r="P107" s="148"/>
      <c r="Q107" s="319" t="s">
        <v>77</v>
      </c>
      <c r="R107" s="82"/>
      <c r="S107" s="82" t="s">
        <v>70</v>
      </c>
      <c r="T107" s="82" t="s">
        <v>209</v>
      </c>
    </row>
    <row r="108" spans="1:20">
      <c r="A108" s="79" t="s">
        <v>61</v>
      </c>
      <c r="B108" s="259" t="s">
        <v>443</v>
      </c>
      <c r="C108" s="258" t="s">
        <v>444</v>
      </c>
      <c r="D108" s="114" t="s">
        <v>445</v>
      </c>
      <c r="E108" s="83" t="s">
        <v>65</v>
      </c>
      <c r="F108" s="85" t="s">
        <v>77</v>
      </c>
      <c r="G108" s="79" t="s">
        <v>414</v>
      </c>
      <c r="H108" s="115" t="s">
        <v>415</v>
      </c>
      <c r="I108" s="81" t="s">
        <v>415</v>
      </c>
      <c r="J108" s="81" t="s">
        <v>7</v>
      </c>
      <c r="K108" s="131"/>
      <c r="L108" s="131"/>
      <c r="M108" s="84" t="s">
        <v>77</v>
      </c>
      <c r="N108" s="87"/>
      <c r="O108" s="86"/>
      <c r="P108" s="148"/>
      <c r="Q108" s="319" t="s">
        <v>77</v>
      </c>
      <c r="R108" s="82"/>
      <c r="S108" s="82" t="s">
        <v>70</v>
      </c>
      <c r="T108" s="82" t="s">
        <v>209</v>
      </c>
    </row>
    <row r="109" spans="1:20">
      <c r="A109" s="79" t="s">
        <v>61</v>
      </c>
      <c r="B109" s="79" t="s">
        <v>446</v>
      </c>
      <c r="C109" s="79" t="s">
        <v>447</v>
      </c>
      <c r="D109" s="80" t="s">
        <v>448</v>
      </c>
      <c r="E109" s="83" t="s">
        <v>65</v>
      </c>
      <c r="F109" s="85" t="s">
        <v>66</v>
      </c>
      <c r="G109" s="79" t="s">
        <v>414</v>
      </c>
      <c r="H109" s="79" t="s">
        <v>415</v>
      </c>
      <c r="I109" s="81" t="s">
        <v>415</v>
      </c>
      <c r="J109" s="81"/>
      <c r="K109" s="131"/>
      <c r="L109" s="131"/>
      <c r="M109" s="84" t="s">
        <v>66</v>
      </c>
      <c r="N109" s="87"/>
      <c r="O109" s="86"/>
      <c r="P109" s="148" t="s">
        <v>220</v>
      </c>
      <c r="Q109" s="319" t="s">
        <v>94</v>
      </c>
      <c r="R109" s="82"/>
      <c r="S109" s="82" t="s">
        <v>70</v>
      </c>
      <c r="T109" s="82" t="s">
        <v>209</v>
      </c>
    </row>
    <row r="110" spans="1:20">
      <c r="A110" s="79" t="s">
        <v>61</v>
      </c>
      <c r="B110" s="113" t="s">
        <v>449</v>
      </c>
      <c r="C110" s="113" t="s">
        <v>450</v>
      </c>
      <c r="D110" s="114" t="s">
        <v>451</v>
      </c>
      <c r="E110" s="83" t="s">
        <v>65</v>
      </c>
      <c r="F110" s="85" t="s">
        <v>77</v>
      </c>
      <c r="G110" s="79" t="s">
        <v>414</v>
      </c>
      <c r="H110" s="115" t="s">
        <v>415</v>
      </c>
      <c r="I110" s="81" t="s">
        <v>415</v>
      </c>
      <c r="J110" s="81" t="s">
        <v>7</v>
      </c>
      <c r="K110" s="131"/>
      <c r="L110" s="131" t="s">
        <v>193</v>
      </c>
      <c r="M110" s="84" t="s">
        <v>77</v>
      </c>
      <c r="N110" s="87"/>
      <c r="O110" s="86"/>
      <c r="P110" s="148" t="s">
        <v>381</v>
      </c>
      <c r="Q110" s="319" t="s">
        <v>77</v>
      </c>
      <c r="R110" s="82"/>
      <c r="S110" s="82" t="s">
        <v>70</v>
      </c>
      <c r="T110" s="82" t="s">
        <v>209</v>
      </c>
    </row>
    <row r="111" spans="1:20">
      <c r="A111" s="79" t="s">
        <v>61</v>
      </c>
      <c r="B111" s="79" t="s">
        <v>452</v>
      </c>
      <c r="C111" s="79" t="s">
        <v>453</v>
      </c>
      <c r="D111" s="80" t="s">
        <v>454</v>
      </c>
      <c r="E111" s="83" t="s">
        <v>65</v>
      </c>
      <c r="F111" s="85" t="s">
        <v>66</v>
      </c>
      <c r="G111" s="79" t="s">
        <v>414</v>
      </c>
      <c r="H111" s="79" t="s">
        <v>415</v>
      </c>
      <c r="I111" s="81" t="s">
        <v>415</v>
      </c>
      <c r="J111" s="81"/>
      <c r="K111" s="131"/>
      <c r="L111" s="131"/>
      <c r="M111" s="84" t="s">
        <v>66</v>
      </c>
      <c r="N111" s="87"/>
      <c r="O111" s="86"/>
      <c r="P111" s="148" t="s">
        <v>330</v>
      </c>
      <c r="Q111" s="319" t="s">
        <v>94</v>
      </c>
      <c r="R111" s="82"/>
      <c r="S111" s="82" t="s">
        <v>70</v>
      </c>
      <c r="T111" s="82" t="s">
        <v>209</v>
      </c>
    </row>
    <row r="112" spans="1:20">
      <c r="A112" s="79" t="s">
        <v>61</v>
      </c>
      <c r="B112" s="79" t="s">
        <v>455</v>
      </c>
      <c r="C112" s="79" t="s">
        <v>456</v>
      </c>
      <c r="D112" s="80" t="s">
        <v>457</v>
      </c>
      <c r="E112" s="83" t="s">
        <v>65</v>
      </c>
      <c r="F112" s="85" t="s">
        <v>77</v>
      </c>
      <c r="G112" s="79" t="s">
        <v>414</v>
      </c>
      <c r="H112" s="79" t="s">
        <v>415</v>
      </c>
      <c r="I112" s="81" t="s">
        <v>415</v>
      </c>
      <c r="J112" s="81" t="s">
        <v>7</v>
      </c>
      <c r="K112" s="131"/>
      <c r="L112" s="131"/>
      <c r="M112" s="84" t="s">
        <v>77</v>
      </c>
      <c r="N112" s="87"/>
      <c r="O112" s="86"/>
      <c r="P112" s="148" t="s">
        <v>458</v>
      </c>
      <c r="Q112" s="319" t="s">
        <v>69</v>
      </c>
      <c r="R112" s="82"/>
      <c r="S112" s="82" t="s">
        <v>70</v>
      </c>
      <c r="T112" s="82" t="s">
        <v>209</v>
      </c>
    </row>
    <row r="113" spans="1:20">
      <c r="A113" s="79" t="s">
        <v>61</v>
      </c>
      <c r="B113" s="79" t="s">
        <v>459</v>
      </c>
      <c r="C113" s="79" t="s">
        <v>460</v>
      </c>
      <c r="D113" s="80" t="s">
        <v>461</v>
      </c>
      <c r="E113" s="83" t="s">
        <v>65</v>
      </c>
      <c r="F113" s="85" t="s">
        <v>66</v>
      </c>
      <c r="G113" s="79" t="s">
        <v>414</v>
      </c>
      <c r="H113" s="79" t="s">
        <v>415</v>
      </c>
      <c r="I113" s="81" t="s">
        <v>415</v>
      </c>
      <c r="J113" s="81"/>
      <c r="K113" s="131"/>
      <c r="L113" s="131"/>
      <c r="M113" s="84" t="s">
        <v>66</v>
      </c>
      <c r="N113" s="87"/>
      <c r="O113" s="86"/>
      <c r="P113" s="148"/>
      <c r="Q113" s="319" t="s">
        <v>69</v>
      </c>
      <c r="R113" s="82"/>
      <c r="S113" s="82" t="s">
        <v>70</v>
      </c>
      <c r="T113" s="82" t="s">
        <v>209</v>
      </c>
    </row>
    <row r="114" spans="1:20">
      <c r="A114" s="79" t="s">
        <v>61</v>
      </c>
      <c r="B114" s="79" t="s">
        <v>462</v>
      </c>
      <c r="C114" s="79" t="s">
        <v>463</v>
      </c>
      <c r="D114" s="80" t="s">
        <v>464</v>
      </c>
      <c r="E114" s="83" t="s">
        <v>65</v>
      </c>
      <c r="F114" s="85" t="s">
        <v>66</v>
      </c>
      <c r="G114" s="79" t="s">
        <v>414</v>
      </c>
      <c r="H114" s="79" t="s">
        <v>415</v>
      </c>
      <c r="I114" s="81" t="s">
        <v>415</v>
      </c>
      <c r="J114" s="81"/>
      <c r="K114" s="131"/>
      <c r="L114" s="131"/>
      <c r="M114" s="84" t="s">
        <v>66</v>
      </c>
      <c r="N114" s="87"/>
      <c r="O114" s="86"/>
      <c r="P114" s="148"/>
      <c r="Q114" s="319" t="s">
        <v>94</v>
      </c>
      <c r="R114" s="82"/>
      <c r="S114" s="82" t="s">
        <v>70</v>
      </c>
      <c r="T114" s="82" t="s">
        <v>209</v>
      </c>
    </row>
    <row r="115" spans="1:20">
      <c r="A115" s="79" t="s">
        <v>61</v>
      </c>
      <c r="B115" s="79" t="s">
        <v>465</v>
      </c>
      <c r="C115" s="79" t="s">
        <v>466</v>
      </c>
      <c r="D115" s="80" t="s">
        <v>467</v>
      </c>
      <c r="E115" s="83" t="s">
        <v>65</v>
      </c>
      <c r="F115" s="85" t="s">
        <v>77</v>
      </c>
      <c r="G115" s="79" t="s">
        <v>414</v>
      </c>
      <c r="H115" s="79" t="s">
        <v>415</v>
      </c>
      <c r="I115" s="81" t="s">
        <v>415</v>
      </c>
      <c r="J115" s="81" t="s">
        <v>7</v>
      </c>
      <c r="K115" s="131"/>
      <c r="L115" s="131"/>
      <c r="M115" s="84" t="s">
        <v>77</v>
      </c>
      <c r="N115" s="87"/>
      <c r="O115" s="86"/>
      <c r="P115" s="148"/>
      <c r="Q115" s="319" t="s">
        <v>77</v>
      </c>
      <c r="R115" s="82"/>
      <c r="S115" s="82" t="s">
        <v>70</v>
      </c>
      <c r="T115" s="82" t="s">
        <v>209</v>
      </c>
    </row>
    <row r="116" spans="1:20">
      <c r="A116" s="79" t="s">
        <v>61</v>
      </c>
      <c r="B116" s="79" t="s">
        <v>468</v>
      </c>
      <c r="C116" s="79" t="s">
        <v>469</v>
      </c>
      <c r="D116" s="80" t="s">
        <v>470</v>
      </c>
      <c r="E116" s="83" t="s">
        <v>65</v>
      </c>
      <c r="F116" s="85" t="s">
        <v>88</v>
      </c>
      <c r="G116" s="79" t="s">
        <v>414</v>
      </c>
      <c r="H116" s="79" t="s">
        <v>415</v>
      </c>
      <c r="I116" s="81" t="s">
        <v>415</v>
      </c>
      <c r="J116" s="81" t="s">
        <v>7</v>
      </c>
      <c r="K116" s="131"/>
      <c r="L116" s="131"/>
      <c r="M116" s="84" t="s">
        <v>88</v>
      </c>
      <c r="N116" s="87"/>
      <c r="O116" s="86"/>
      <c r="P116" s="148"/>
      <c r="Q116" s="319" t="s">
        <v>77</v>
      </c>
      <c r="R116" s="82"/>
      <c r="S116" s="82" t="s">
        <v>70</v>
      </c>
      <c r="T116" s="82" t="s">
        <v>209</v>
      </c>
    </row>
    <row r="117" spans="1:20">
      <c r="A117" s="79" t="s">
        <v>61</v>
      </c>
      <c r="B117" s="79" t="s">
        <v>471</v>
      </c>
      <c r="C117" s="156" t="s">
        <v>472</v>
      </c>
      <c r="D117" s="80" t="s">
        <v>473</v>
      </c>
      <c r="E117" s="83" t="s">
        <v>65</v>
      </c>
      <c r="F117" s="85" t="s">
        <v>77</v>
      </c>
      <c r="G117" s="79" t="s">
        <v>414</v>
      </c>
      <c r="H117" s="79" t="s">
        <v>415</v>
      </c>
      <c r="I117" s="81" t="s">
        <v>415</v>
      </c>
      <c r="J117" s="81"/>
      <c r="K117" s="131"/>
      <c r="L117" s="131"/>
      <c r="M117" s="84" t="s">
        <v>77</v>
      </c>
      <c r="N117" s="87"/>
      <c r="O117" s="86"/>
      <c r="P117" s="148"/>
      <c r="Q117" s="319" t="s">
        <v>77</v>
      </c>
      <c r="R117" s="82"/>
      <c r="S117" s="82" t="s">
        <v>70</v>
      </c>
      <c r="T117" s="82" t="s">
        <v>79</v>
      </c>
    </row>
    <row r="118" spans="1:20">
      <c r="A118" s="79" t="s">
        <v>61</v>
      </c>
      <c r="B118" s="79" t="s">
        <v>474</v>
      </c>
      <c r="C118" s="79" t="s">
        <v>475</v>
      </c>
      <c r="D118" s="80" t="s">
        <v>476</v>
      </c>
      <c r="E118" s="83" t="s">
        <v>65</v>
      </c>
      <c r="F118" s="85" t="s">
        <v>66</v>
      </c>
      <c r="G118" s="79" t="s">
        <v>414</v>
      </c>
      <c r="H118" s="79" t="s">
        <v>415</v>
      </c>
      <c r="I118" s="81" t="s">
        <v>415</v>
      </c>
      <c r="J118" s="81" t="s">
        <v>7</v>
      </c>
      <c r="K118" s="131"/>
      <c r="L118" s="131"/>
      <c r="M118" s="84" t="s">
        <v>66</v>
      </c>
      <c r="N118" s="87"/>
      <c r="O118" s="86"/>
      <c r="P118" s="148"/>
      <c r="Q118" s="319" t="s">
        <v>94</v>
      </c>
      <c r="R118" s="82"/>
      <c r="S118" s="82" t="s">
        <v>70</v>
      </c>
      <c r="T118" s="82" t="s">
        <v>205</v>
      </c>
    </row>
    <row r="119" spans="1:20">
      <c r="A119" s="79" t="s">
        <v>61</v>
      </c>
      <c r="B119" s="80" t="s">
        <v>477</v>
      </c>
      <c r="C119" s="79" t="s">
        <v>478</v>
      </c>
      <c r="D119" s="114" t="s">
        <v>479</v>
      </c>
      <c r="E119" s="83" t="s">
        <v>65</v>
      </c>
      <c r="F119" s="85" t="s">
        <v>77</v>
      </c>
      <c r="G119" s="79" t="s">
        <v>414</v>
      </c>
      <c r="H119" s="115" t="s">
        <v>415</v>
      </c>
      <c r="I119" s="116" t="s">
        <v>415</v>
      </c>
      <c r="J119" s="81" t="s">
        <v>7</v>
      </c>
      <c r="K119" s="130"/>
      <c r="L119" s="130"/>
      <c r="M119" s="84" t="s">
        <v>77</v>
      </c>
      <c r="N119" s="87"/>
      <c r="O119" s="86"/>
      <c r="P119" s="148" t="s">
        <v>480</v>
      </c>
      <c r="Q119" s="319" t="s">
        <v>77</v>
      </c>
      <c r="R119" s="82"/>
      <c r="S119" s="82" t="s">
        <v>70</v>
      </c>
      <c r="T119" s="82" t="s">
        <v>209</v>
      </c>
    </row>
    <row r="120" spans="1:20">
      <c r="A120" s="79" t="s">
        <v>61</v>
      </c>
      <c r="B120" s="79" t="s">
        <v>481</v>
      </c>
      <c r="C120" s="79" t="s">
        <v>482</v>
      </c>
      <c r="D120" s="80" t="s">
        <v>483</v>
      </c>
      <c r="E120" s="83" t="s">
        <v>65</v>
      </c>
      <c r="F120" s="85" t="s">
        <v>77</v>
      </c>
      <c r="G120" s="79" t="s">
        <v>414</v>
      </c>
      <c r="H120" s="79" t="s">
        <v>415</v>
      </c>
      <c r="I120" s="81" t="s">
        <v>415</v>
      </c>
      <c r="J120" s="81"/>
      <c r="K120" s="131"/>
      <c r="L120" s="131"/>
      <c r="M120" s="84" t="s">
        <v>77</v>
      </c>
      <c r="N120" s="87"/>
      <c r="O120" s="86"/>
      <c r="P120" s="148"/>
      <c r="Q120" s="319" t="s">
        <v>252</v>
      </c>
      <c r="R120" s="82"/>
      <c r="S120" s="82" t="s">
        <v>70</v>
      </c>
      <c r="T120" s="82" t="s">
        <v>209</v>
      </c>
    </row>
    <row r="121" spans="1:20">
      <c r="A121" s="79" t="s">
        <v>61</v>
      </c>
      <c r="B121" s="121" t="s">
        <v>484</v>
      </c>
      <c r="C121" s="79" t="s">
        <v>485</v>
      </c>
      <c r="D121" s="80" t="s">
        <v>486</v>
      </c>
      <c r="E121" s="83" t="s">
        <v>65</v>
      </c>
      <c r="F121" s="85" t="s">
        <v>66</v>
      </c>
      <c r="G121" s="79" t="s">
        <v>487</v>
      </c>
      <c r="H121" s="79" t="s">
        <v>488</v>
      </c>
      <c r="I121" s="81" t="s">
        <v>368</v>
      </c>
      <c r="J121" s="81" t="s">
        <v>7</v>
      </c>
      <c r="K121" s="130"/>
      <c r="L121" s="130"/>
      <c r="M121" s="84" t="s">
        <v>66</v>
      </c>
      <c r="N121" s="87"/>
      <c r="O121" s="86"/>
      <c r="P121" s="148"/>
      <c r="Q121" s="319" t="s">
        <v>94</v>
      </c>
      <c r="R121" s="82"/>
      <c r="S121" s="82" t="s">
        <v>119</v>
      </c>
      <c r="T121" s="82" t="s">
        <v>205</v>
      </c>
    </row>
    <row r="122" spans="1:20">
      <c r="A122" s="120" t="s">
        <v>61</v>
      </c>
      <c r="B122" s="275" t="s">
        <v>489</v>
      </c>
      <c r="C122" s="113" t="s">
        <v>490</v>
      </c>
      <c r="D122" s="273" t="s">
        <v>491</v>
      </c>
      <c r="E122" s="83" t="s">
        <v>65</v>
      </c>
      <c r="F122" s="85" t="s">
        <v>77</v>
      </c>
      <c r="G122" s="79" t="s">
        <v>487</v>
      </c>
      <c r="H122" s="79" t="s">
        <v>492</v>
      </c>
      <c r="I122" s="116" t="s">
        <v>492</v>
      </c>
      <c r="J122" s="81" t="s">
        <v>7</v>
      </c>
      <c r="K122" s="131"/>
      <c r="L122" s="131"/>
      <c r="M122" s="84" t="s">
        <v>77</v>
      </c>
      <c r="N122" s="87"/>
      <c r="O122" s="86"/>
      <c r="P122" s="148"/>
      <c r="Q122" s="319" t="s">
        <v>77</v>
      </c>
      <c r="R122" s="82"/>
      <c r="S122" s="82" t="s">
        <v>119</v>
      </c>
      <c r="T122" s="82" t="s">
        <v>205</v>
      </c>
    </row>
    <row r="123" spans="1:20">
      <c r="A123" s="120" t="s">
        <v>61</v>
      </c>
      <c r="B123" s="269" t="s">
        <v>493</v>
      </c>
      <c r="C123" s="79" t="s">
        <v>494</v>
      </c>
      <c r="D123" s="268" t="s">
        <v>495</v>
      </c>
      <c r="E123" s="83" t="s">
        <v>65</v>
      </c>
      <c r="F123" s="85" t="s">
        <v>77</v>
      </c>
      <c r="G123" s="79" t="s">
        <v>487</v>
      </c>
      <c r="H123" s="156" t="s">
        <v>492</v>
      </c>
      <c r="I123" s="180" t="s">
        <v>492</v>
      </c>
      <c r="J123" s="81" t="s">
        <v>7</v>
      </c>
      <c r="K123" s="131"/>
      <c r="L123" s="131"/>
      <c r="M123" s="84" t="s">
        <v>77</v>
      </c>
      <c r="N123" s="87">
        <v>46126</v>
      </c>
      <c r="O123" s="86">
        <v>46128</v>
      </c>
      <c r="P123" s="148"/>
      <c r="Q123" s="319" t="s">
        <v>77</v>
      </c>
      <c r="R123" s="82"/>
      <c r="S123" s="82" t="s">
        <v>119</v>
      </c>
      <c r="T123" s="82" t="s">
        <v>205</v>
      </c>
    </row>
    <row r="124" spans="1:20">
      <c r="A124" s="120" t="s">
        <v>61</v>
      </c>
      <c r="B124" s="106" t="s">
        <v>496</v>
      </c>
      <c r="C124" s="79" t="s">
        <v>497</v>
      </c>
      <c r="D124" s="197" t="s">
        <v>498</v>
      </c>
      <c r="E124" s="83" t="s">
        <v>65</v>
      </c>
      <c r="F124" s="85" t="s">
        <v>66</v>
      </c>
      <c r="G124" s="79" t="s">
        <v>487</v>
      </c>
      <c r="H124" s="160" t="s">
        <v>492</v>
      </c>
      <c r="I124" s="206" t="s">
        <v>492</v>
      </c>
      <c r="J124" s="81" t="s">
        <v>7</v>
      </c>
      <c r="K124" s="131"/>
      <c r="L124" s="131"/>
      <c r="M124" s="84" t="s">
        <v>66</v>
      </c>
      <c r="N124" s="87"/>
      <c r="O124" s="86"/>
      <c r="P124" s="148"/>
      <c r="Q124" s="319" t="s">
        <v>94</v>
      </c>
      <c r="R124" s="82"/>
      <c r="S124" s="82" t="s">
        <v>119</v>
      </c>
      <c r="T124" s="82" t="s">
        <v>164</v>
      </c>
    </row>
    <row r="125" spans="1:20">
      <c r="A125" s="120" t="s">
        <v>61</v>
      </c>
      <c r="B125" s="106" t="s">
        <v>499</v>
      </c>
      <c r="C125" s="79" t="s">
        <v>500</v>
      </c>
      <c r="D125" s="197" t="s">
        <v>501</v>
      </c>
      <c r="E125" s="83" t="s">
        <v>65</v>
      </c>
      <c r="F125" s="85" t="s">
        <v>66</v>
      </c>
      <c r="G125" s="79" t="s">
        <v>487</v>
      </c>
      <c r="H125" s="160" t="s">
        <v>492</v>
      </c>
      <c r="I125" s="206" t="s">
        <v>492</v>
      </c>
      <c r="J125" s="81" t="s">
        <v>7</v>
      </c>
      <c r="K125" s="131"/>
      <c r="L125" s="131"/>
      <c r="M125" s="84" t="s">
        <v>66</v>
      </c>
      <c r="N125" s="87"/>
      <c r="O125" s="86"/>
      <c r="P125" s="148"/>
      <c r="Q125" s="319" t="s">
        <v>94</v>
      </c>
      <c r="R125" s="82"/>
      <c r="S125" s="82" t="s">
        <v>119</v>
      </c>
      <c r="T125" s="82" t="s">
        <v>205</v>
      </c>
    </row>
    <row r="126" spans="1:20">
      <c r="A126" s="120" t="s">
        <v>61</v>
      </c>
      <c r="B126" s="106" t="s">
        <v>502</v>
      </c>
      <c r="C126" s="79" t="s">
        <v>503</v>
      </c>
      <c r="D126" s="197" t="s">
        <v>504</v>
      </c>
      <c r="E126" s="83" t="s">
        <v>65</v>
      </c>
      <c r="F126" s="85" t="s">
        <v>66</v>
      </c>
      <c r="G126" s="79" t="s">
        <v>487</v>
      </c>
      <c r="H126" s="160" t="s">
        <v>492</v>
      </c>
      <c r="I126" s="206" t="s">
        <v>492</v>
      </c>
      <c r="J126" s="81"/>
      <c r="K126" s="131"/>
      <c r="L126" s="131"/>
      <c r="M126" s="84" t="s">
        <v>66</v>
      </c>
      <c r="N126" s="87"/>
      <c r="O126" s="86"/>
      <c r="P126" s="148"/>
      <c r="Q126" s="319" t="s">
        <v>94</v>
      </c>
      <c r="R126" s="82"/>
      <c r="S126" s="82" t="s">
        <v>119</v>
      </c>
      <c r="T126" s="82" t="s">
        <v>205</v>
      </c>
    </row>
    <row r="127" spans="1:20">
      <c r="A127" s="120" t="s">
        <v>61</v>
      </c>
      <c r="B127" s="106" t="s">
        <v>505</v>
      </c>
      <c r="C127" s="79" t="s">
        <v>506</v>
      </c>
      <c r="D127" s="197" t="s">
        <v>507</v>
      </c>
      <c r="E127" s="83" t="s">
        <v>65</v>
      </c>
      <c r="F127" s="85" t="s">
        <v>77</v>
      </c>
      <c r="G127" s="79" t="s">
        <v>487</v>
      </c>
      <c r="H127" s="160" t="s">
        <v>492</v>
      </c>
      <c r="I127" s="109" t="s">
        <v>488</v>
      </c>
      <c r="J127" s="81"/>
      <c r="K127" s="131"/>
      <c r="L127" s="131"/>
      <c r="M127" s="84" t="s">
        <v>77</v>
      </c>
      <c r="N127" s="87">
        <v>46112</v>
      </c>
      <c r="O127" s="86">
        <v>46113</v>
      </c>
      <c r="P127" s="148"/>
      <c r="Q127" s="319" t="s">
        <v>77</v>
      </c>
      <c r="R127" s="82"/>
      <c r="S127" s="82" t="s">
        <v>119</v>
      </c>
      <c r="T127" s="82" t="s">
        <v>205</v>
      </c>
    </row>
    <row r="128" spans="1:20">
      <c r="A128" s="120" t="s">
        <v>61</v>
      </c>
      <c r="B128" s="269" t="s">
        <v>508</v>
      </c>
      <c r="C128" s="79" t="s">
        <v>509</v>
      </c>
      <c r="D128" s="270" t="s">
        <v>510</v>
      </c>
      <c r="E128" s="83" t="s">
        <v>65</v>
      </c>
      <c r="F128" s="85" t="s">
        <v>77</v>
      </c>
      <c r="G128" s="79" t="s">
        <v>487</v>
      </c>
      <c r="H128" s="160" t="s">
        <v>492</v>
      </c>
      <c r="I128" s="278" t="s">
        <v>492</v>
      </c>
      <c r="J128" s="81"/>
      <c r="K128" s="131"/>
      <c r="L128" s="131"/>
      <c r="M128" s="84" t="s">
        <v>77</v>
      </c>
      <c r="N128" s="87"/>
      <c r="O128" s="86"/>
      <c r="P128" s="148"/>
      <c r="Q128" s="319" t="s">
        <v>69</v>
      </c>
      <c r="R128" s="82"/>
      <c r="S128" s="82" t="s">
        <v>119</v>
      </c>
      <c r="T128" s="82" t="s">
        <v>205</v>
      </c>
    </row>
    <row r="129" spans="1:20">
      <c r="A129" s="120" t="s">
        <v>61</v>
      </c>
      <c r="B129" s="106" t="s">
        <v>511</v>
      </c>
      <c r="C129" s="79" t="s">
        <v>512</v>
      </c>
      <c r="D129" s="197" t="s">
        <v>513</v>
      </c>
      <c r="E129" s="83" t="s">
        <v>65</v>
      </c>
      <c r="F129" s="85" t="s">
        <v>66</v>
      </c>
      <c r="G129" s="79" t="s">
        <v>487</v>
      </c>
      <c r="H129" s="160" t="s">
        <v>492</v>
      </c>
      <c r="I129" s="206" t="s">
        <v>492</v>
      </c>
      <c r="J129" s="81"/>
      <c r="K129" s="131"/>
      <c r="L129" s="131"/>
      <c r="M129" s="84" t="s">
        <v>66</v>
      </c>
      <c r="N129" s="87"/>
      <c r="O129" s="86"/>
      <c r="P129" s="148"/>
      <c r="Q129" s="319" t="s">
        <v>69</v>
      </c>
      <c r="R129" s="82"/>
      <c r="S129" s="82" t="s">
        <v>119</v>
      </c>
      <c r="T129" s="82" t="s">
        <v>205</v>
      </c>
    </row>
    <row r="130" spans="1:20">
      <c r="A130" s="120" t="s">
        <v>61</v>
      </c>
      <c r="B130" s="269" t="s">
        <v>514</v>
      </c>
      <c r="C130" s="79" t="s">
        <v>515</v>
      </c>
      <c r="D130" s="273" t="s">
        <v>516</v>
      </c>
      <c r="E130" s="83" t="s">
        <v>65</v>
      </c>
      <c r="F130" s="85" t="s">
        <v>77</v>
      </c>
      <c r="G130" s="79" t="s">
        <v>487</v>
      </c>
      <c r="H130" s="271" t="s">
        <v>492</v>
      </c>
      <c r="I130" s="274" t="s">
        <v>492</v>
      </c>
      <c r="J130" s="81"/>
      <c r="K130" s="131"/>
      <c r="L130" s="131"/>
      <c r="M130" s="84" t="s">
        <v>77</v>
      </c>
      <c r="N130" s="87"/>
      <c r="O130" s="86"/>
      <c r="P130" s="148"/>
      <c r="Q130" s="319" t="s">
        <v>77</v>
      </c>
      <c r="R130" s="82"/>
      <c r="S130" s="82" t="s">
        <v>119</v>
      </c>
      <c r="T130" s="82" t="s">
        <v>205</v>
      </c>
    </row>
    <row r="131" spans="1:20">
      <c r="A131" s="120" t="s">
        <v>61</v>
      </c>
      <c r="B131" s="79" t="s">
        <v>517</v>
      </c>
      <c r="C131" s="79" t="s">
        <v>518</v>
      </c>
      <c r="D131" s="80" t="s">
        <v>519</v>
      </c>
      <c r="E131" s="83" t="s">
        <v>65</v>
      </c>
      <c r="F131" s="85" t="s">
        <v>66</v>
      </c>
      <c r="G131" s="79" t="s">
        <v>487</v>
      </c>
      <c r="H131" s="155" t="s">
        <v>492</v>
      </c>
      <c r="I131" s="207" t="s">
        <v>492</v>
      </c>
      <c r="J131" s="81" t="s">
        <v>1</v>
      </c>
      <c r="K131" s="131"/>
      <c r="L131" s="131"/>
      <c r="M131" s="84" t="s">
        <v>66</v>
      </c>
      <c r="N131" s="87">
        <v>46129</v>
      </c>
      <c r="O131" s="86"/>
      <c r="P131" s="148"/>
      <c r="Q131" s="319" t="s">
        <v>77</v>
      </c>
      <c r="R131" s="82"/>
      <c r="S131" s="82" t="s">
        <v>119</v>
      </c>
      <c r="T131" s="82" t="s">
        <v>205</v>
      </c>
    </row>
    <row r="132" spans="1:20">
      <c r="A132" s="120" t="s">
        <v>61</v>
      </c>
      <c r="B132" s="113" t="s">
        <v>520</v>
      </c>
      <c r="C132" s="113" t="s">
        <v>521</v>
      </c>
      <c r="D132" s="277" t="s">
        <v>522</v>
      </c>
      <c r="E132" s="83" t="s">
        <v>65</v>
      </c>
      <c r="F132" s="85" t="s">
        <v>77</v>
      </c>
      <c r="G132" s="79" t="s">
        <v>487</v>
      </c>
      <c r="H132" s="106" t="s">
        <v>492</v>
      </c>
      <c r="I132" s="109" t="s">
        <v>492</v>
      </c>
      <c r="J132" s="81"/>
      <c r="K132" s="131"/>
      <c r="L132" s="131"/>
      <c r="M132" s="84" t="s">
        <v>77</v>
      </c>
      <c r="N132" s="87"/>
      <c r="O132" s="86"/>
      <c r="P132" s="148"/>
      <c r="Q132" s="319" t="s">
        <v>77</v>
      </c>
      <c r="R132" s="82"/>
      <c r="S132" s="82" t="s">
        <v>119</v>
      </c>
      <c r="T132" s="82" t="s">
        <v>205</v>
      </c>
    </row>
    <row r="133" spans="1:20">
      <c r="A133" s="120" t="s">
        <v>61</v>
      </c>
      <c r="B133" s="79" t="s">
        <v>523</v>
      </c>
      <c r="C133" s="79" t="s">
        <v>524</v>
      </c>
      <c r="D133" s="193" t="s">
        <v>525</v>
      </c>
      <c r="E133" s="83" t="s">
        <v>65</v>
      </c>
      <c r="F133" s="85" t="s">
        <v>66</v>
      </c>
      <c r="G133" s="79" t="s">
        <v>487</v>
      </c>
      <c r="H133" s="106" t="s">
        <v>492</v>
      </c>
      <c r="I133" s="109" t="s">
        <v>492</v>
      </c>
      <c r="J133" s="81" t="s">
        <v>7</v>
      </c>
      <c r="K133" s="131"/>
      <c r="L133" s="131"/>
      <c r="M133" s="84" t="s">
        <v>66</v>
      </c>
      <c r="N133" s="87"/>
      <c r="O133" s="86"/>
      <c r="P133" s="148"/>
      <c r="Q133" s="319" t="s">
        <v>94</v>
      </c>
      <c r="R133" s="82"/>
      <c r="S133" s="82" t="s">
        <v>119</v>
      </c>
      <c r="T133" s="82" t="s">
        <v>205</v>
      </c>
    </row>
    <row r="134" spans="1:20">
      <c r="A134" s="120" t="s">
        <v>61</v>
      </c>
      <c r="B134" s="79" t="s">
        <v>526</v>
      </c>
      <c r="C134" s="79" t="s">
        <v>527</v>
      </c>
      <c r="D134" s="196" t="s">
        <v>528</v>
      </c>
      <c r="E134" s="83" t="s">
        <v>65</v>
      </c>
      <c r="F134" s="85" t="s">
        <v>66</v>
      </c>
      <c r="G134" s="79" t="s">
        <v>487</v>
      </c>
      <c r="H134" s="160" t="s">
        <v>488</v>
      </c>
      <c r="I134" s="109" t="s">
        <v>488</v>
      </c>
      <c r="J134" s="81"/>
      <c r="K134" s="131"/>
      <c r="L134" s="131"/>
      <c r="M134" s="84" t="s">
        <v>66</v>
      </c>
      <c r="N134" s="87"/>
      <c r="O134" s="86"/>
      <c r="P134" s="148"/>
      <c r="Q134" s="319" t="s">
        <v>69</v>
      </c>
      <c r="R134" s="82"/>
      <c r="S134" s="82" t="s">
        <v>119</v>
      </c>
      <c r="T134" s="82" t="s">
        <v>205</v>
      </c>
    </row>
    <row r="135" spans="1:20">
      <c r="A135" s="79" t="s">
        <v>61</v>
      </c>
      <c r="B135" s="113" t="s">
        <v>529</v>
      </c>
      <c r="C135" s="113" t="s">
        <v>530</v>
      </c>
      <c r="D135" s="276" t="s">
        <v>531</v>
      </c>
      <c r="E135" s="83" t="s">
        <v>65</v>
      </c>
      <c r="F135" s="85" t="s">
        <v>77</v>
      </c>
      <c r="G135" s="79" t="s">
        <v>487</v>
      </c>
      <c r="H135" s="106" t="s">
        <v>488</v>
      </c>
      <c r="I135" s="180" t="s">
        <v>488</v>
      </c>
      <c r="J135" s="81"/>
      <c r="K135" s="131"/>
      <c r="L135" s="131"/>
      <c r="M135" s="84" t="s">
        <v>77</v>
      </c>
      <c r="N135" s="87"/>
      <c r="O135" s="86"/>
      <c r="P135" s="148" t="s">
        <v>532</v>
      </c>
      <c r="Q135" s="319" t="s">
        <v>77</v>
      </c>
      <c r="R135" s="82"/>
      <c r="S135" s="82" t="s">
        <v>119</v>
      </c>
      <c r="T135" s="82" t="s">
        <v>205</v>
      </c>
    </row>
    <row r="136" spans="1:20">
      <c r="A136" s="79" t="s">
        <v>61</v>
      </c>
      <c r="B136" s="79" t="s">
        <v>533</v>
      </c>
      <c r="C136" s="79" t="s">
        <v>534</v>
      </c>
      <c r="D136" s="123" t="s">
        <v>535</v>
      </c>
      <c r="E136" s="83" t="s">
        <v>65</v>
      </c>
      <c r="F136" s="85" t="s">
        <v>77</v>
      </c>
      <c r="G136" s="79" t="s">
        <v>487</v>
      </c>
      <c r="H136" s="106" t="s">
        <v>488</v>
      </c>
      <c r="I136" s="109" t="s">
        <v>488</v>
      </c>
      <c r="J136" s="81"/>
      <c r="K136" s="131"/>
      <c r="L136" s="131"/>
      <c r="M136" s="84" t="s">
        <v>77</v>
      </c>
      <c r="N136" s="87"/>
      <c r="O136" s="86"/>
      <c r="P136" s="148" t="s">
        <v>220</v>
      </c>
      <c r="Q136" s="319" t="s">
        <v>77</v>
      </c>
      <c r="R136" s="82"/>
      <c r="S136" s="82" t="s">
        <v>119</v>
      </c>
      <c r="T136" s="82" t="s">
        <v>205</v>
      </c>
    </row>
    <row r="137" spans="1:20">
      <c r="A137" s="79" t="s">
        <v>61</v>
      </c>
      <c r="B137" s="79" t="s">
        <v>536</v>
      </c>
      <c r="C137" s="79" t="s">
        <v>537</v>
      </c>
      <c r="D137" s="123" t="s">
        <v>538</v>
      </c>
      <c r="E137" s="83" t="s">
        <v>65</v>
      </c>
      <c r="F137" s="85" t="s">
        <v>66</v>
      </c>
      <c r="G137" s="79" t="s">
        <v>487</v>
      </c>
      <c r="H137" s="106" t="s">
        <v>488</v>
      </c>
      <c r="I137" s="109" t="s">
        <v>488</v>
      </c>
      <c r="J137" s="81" t="s">
        <v>7</v>
      </c>
      <c r="K137" s="131"/>
      <c r="L137" s="131"/>
      <c r="M137" s="84" t="s">
        <v>66</v>
      </c>
      <c r="N137" s="87">
        <v>46123</v>
      </c>
      <c r="O137" s="86"/>
      <c r="P137" s="148"/>
      <c r="Q137" s="319" t="s">
        <v>77</v>
      </c>
      <c r="R137" s="82"/>
      <c r="S137" s="82" t="s">
        <v>119</v>
      </c>
      <c r="T137" s="82" t="s">
        <v>205</v>
      </c>
    </row>
    <row r="138" spans="1:20">
      <c r="A138" s="79" t="s">
        <v>61</v>
      </c>
      <c r="B138" s="79" t="s">
        <v>539</v>
      </c>
      <c r="C138" s="79" t="s">
        <v>540</v>
      </c>
      <c r="D138" s="80" t="s">
        <v>541</v>
      </c>
      <c r="E138" s="83" t="s">
        <v>65</v>
      </c>
      <c r="F138" s="85" t="s">
        <v>66</v>
      </c>
      <c r="G138" s="79" t="s">
        <v>487</v>
      </c>
      <c r="H138" s="106" t="s">
        <v>488</v>
      </c>
      <c r="I138" s="109" t="s">
        <v>488</v>
      </c>
      <c r="J138" s="81"/>
      <c r="K138" s="131"/>
      <c r="L138" s="131"/>
      <c r="M138" s="84" t="s">
        <v>66</v>
      </c>
      <c r="N138" s="87">
        <v>46105</v>
      </c>
      <c r="O138" s="86">
        <v>46106</v>
      </c>
      <c r="P138" s="148"/>
      <c r="Q138" s="319" t="s">
        <v>94</v>
      </c>
      <c r="R138" s="82"/>
      <c r="S138" s="82" t="s">
        <v>119</v>
      </c>
      <c r="T138" s="82" t="s">
        <v>205</v>
      </c>
    </row>
    <row r="139" spans="1:20">
      <c r="A139" s="79" t="s">
        <v>61</v>
      </c>
      <c r="B139" s="79" t="s">
        <v>542</v>
      </c>
      <c r="C139" s="79" t="s">
        <v>543</v>
      </c>
      <c r="D139" s="195" t="s">
        <v>544</v>
      </c>
      <c r="E139" s="83" t="s">
        <v>65</v>
      </c>
      <c r="F139" s="85" t="s">
        <v>66</v>
      </c>
      <c r="G139" s="79" t="s">
        <v>487</v>
      </c>
      <c r="H139" s="106" t="s">
        <v>488</v>
      </c>
      <c r="I139" s="109" t="s">
        <v>488</v>
      </c>
      <c r="J139" s="81"/>
      <c r="K139" s="131"/>
      <c r="L139" s="131"/>
      <c r="M139" s="84" t="s">
        <v>66</v>
      </c>
      <c r="N139" s="87"/>
      <c r="O139" s="86"/>
      <c r="P139" s="148" t="s">
        <v>220</v>
      </c>
      <c r="Q139" s="319" t="s">
        <v>69</v>
      </c>
      <c r="R139" s="82"/>
      <c r="S139" s="82" t="s">
        <v>119</v>
      </c>
      <c r="T139" s="82" t="s">
        <v>205</v>
      </c>
    </row>
    <row r="140" spans="1:20">
      <c r="A140" s="79" t="s">
        <v>61</v>
      </c>
      <c r="B140" s="79" t="s">
        <v>545</v>
      </c>
      <c r="C140" s="79" t="s">
        <v>546</v>
      </c>
      <c r="D140" s="196" t="s">
        <v>547</v>
      </c>
      <c r="E140" s="83" t="s">
        <v>65</v>
      </c>
      <c r="F140" s="85" t="s">
        <v>77</v>
      </c>
      <c r="G140" s="79" t="s">
        <v>487</v>
      </c>
      <c r="H140" s="106" t="s">
        <v>488</v>
      </c>
      <c r="I140" s="109" t="s">
        <v>488</v>
      </c>
      <c r="J140" s="81" t="s">
        <v>7</v>
      </c>
      <c r="K140" s="131"/>
      <c r="L140" s="131"/>
      <c r="M140" s="84" t="s">
        <v>77</v>
      </c>
      <c r="N140" s="87"/>
      <c r="O140" s="86"/>
      <c r="P140" s="148"/>
      <c r="Q140" s="319" t="s">
        <v>77</v>
      </c>
      <c r="R140" s="82"/>
      <c r="S140" s="82" t="s">
        <v>119</v>
      </c>
      <c r="T140" s="82" t="s">
        <v>205</v>
      </c>
    </row>
    <row r="141" spans="1:20">
      <c r="A141" s="79" t="s">
        <v>61</v>
      </c>
      <c r="B141" s="79" t="s">
        <v>548</v>
      </c>
      <c r="C141" s="79" t="s">
        <v>549</v>
      </c>
      <c r="D141" s="198" t="s">
        <v>550</v>
      </c>
      <c r="E141" s="83" t="s">
        <v>65</v>
      </c>
      <c r="F141" s="85" t="s">
        <v>66</v>
      </c>
      <c r="G141" s="79" t="s">
        <v>487</v>
      </c>
      <c r="H141" s="106" t="s">
        <v>488</v>
      </c>
      <c r="I141" s="109" t="s">
        <v>488</v>
      </c>
      <c r="J141" s="81" t="s">
        <v>7</v>
      </c>
      <c r="K141" s="131"/>
      <c r="L141" s="131"/>
      <c r="M141" s="84" t="s">
        <v>66</v>
      </c>
      <c r="N141" s="87"/>
      <c r="O141" s="86"/>
      <c r="P141" s="148"/>
      <c r="Q141" s="319" t="s">
        <v>69</v>
      </c>
      <c r="R141" s="82"/>
      <c r="S141" s="82" t="s">
        <v>119</v>
      </c>
      <c r="T141" s="82" t="s">
        <v>205</v>
      </c>
    </row>
    <row r="142" spans="1:20">
      <c r="A142" s="79" t="s">
        <v>61</v>
      </c>
      <c r="B142" s="79" t="s">
        <v>551</v>
      </c>
      <c r="C142" s="79" t="s">
        <v>552</v>
      </c>
      <c r="D142" s="193" t="s">
        <v>553</v>
      </c>
      <c r="E142" s="83" t="s">
        <v>65</v>
      </c>
      <c r="F142" s="85" t="s">
        <v>66</v>
      </c>
      <c r="G142" s="79" t="s">
        <v>487</v>
      </c>
      <c r="H142" s="106" t="s">
        <v>488</v>
      </c>
      <c r="I142" s="109" t="s">
        <v>488</v>
      </c>
      <c r="J142" s="81" t="s">
        <v>7</v>
      </c>
      <c r="K142" s="131"/>
      <c r="L142" s="131"/>
      <c r="M142" s="84" t="s">
        <v>66</v>
      </c>
      <c r="N142" s="87"/>
      <c r="O142" s="86"/>
      <c r="P142" s="148"/>
      <c r="Q142" s="319" t="s">
        <v>69</v>
      </c>
      <c r="R142" s="82"/>
      <c r="S142" s="82" t="s">
        <v>119</v>
      </c>
      <c r="T142" s="82" t="s">
        <v>205</v>
      </c>
    </row>
    <row r="143" spans="1:20">
      <c r="A143" s="79" t="s">
        <v>61</v>
      </c>
      <c r="B143" s="156" t="s">
        <v>554</v>
      </c>
      <c r="C143" s="258" t="s">
        <v>555</v>
      </c>
      <c r="D143" s="195" t="s">
        <v>556</v>
      </c>
      <c r="E143" s="83" t="s">
        <v>65</v>
      </c>
      <c r="F143" s="85" t="s">
        <v>77</v>
      </c>
      <c r="G143" s="79" t="s">
        <v>487</v>
      </c>
      <c r="H143" s="106" t="s">
        <v>488</v>
      </c>
      <c r="I143" s="109" t="s">
        <v>488</v>
      </c>
      <c r="J143" s="81"/>
      <c r="K143" s="131"/>
      <c r="L143" s="130"/>
      <c r="M143" s="84" t="s">
        <v>77</v>
      </c>
      <c r="N143" s="87"/>
      <c r="O143" s="86"/>
      <c r="P143" s="148"/>
      <c r="Q143" s="319" t="s">
        <v>77</v>
      </c>
      <c r="R143" s="82"/>
      <c r="S143" s="82" t="s">
        <v>119</v>
      </c>
      <c r="T143" s="82" t="s">
        <v>557</v>
      </c>
    </row>
    <row r="144" spans="1:20">
      <c r="A144" s="79" t="s">
        <v>61</v>
      </c>
      <c r="B144" s="156" t="s">
        <v>558</v>
      </c>
      <c r="C144" s="258" t="s">
        <v>558</v>
      </c>
      <c r="D144" s="195" t="s">
        <v>559</v>
      </c>
      <c r="E144" s="83" t="s">
        <v>65</v>
      </c>
      <c r="F144" s="85" t="s">
        <v>77</v>
      </c>
      <c r="G144" s="79" t="s">
        <v>487</v>
      </c>
      <c r="H144" s="79" t="s">
        <v>488</v>
      </c>
      <c r="I144" s="81" t="s">
        <v>488</v>
      </c>
      <c r="J144" s="81"/>
      <c r="K144" s="131"/>
      <c r="L144" s="131"/>
      <c r="M144" s="84" t="s">
        <v>77</v>
      </c>
      <c r="N144" s="87"/>
      <c r="O144" s="86"/>
      <c r="P144" s="148"/>
      <c r="Q144" s="319" t="s">
        <v>77</v>
      </c>
      <c r="R144" s="82"/>
      <c r="S144" s="82" t="s">
        <v>119</v>
      </c>
      <c r="T144" s="82" t="s">
        <v>560</v>
      </c>
    </row>
    <row r="145" spans="1:20">
      <c r="A145" s="79" t="s">
        <v>61</v>
      </c>
      <c r="B145" s="79" t="s">
        <v>561</v>
      </c>
      <c r="C145" s="79" t="s">
        <v>562</v>
      </c>
      <c r="D145" s="80" t="s">
        <v>563</v>
      </c>
      <c r="E145" s="83" t="s">
        <v>65</v>
      </c>
      <c r="F145" s="85" t="s">
        <v>66</v>
      </c>
      <c r="G145" s="79" t="s">
        <v>266</v>
      </c>
      <c r="H145" s="79" t="s">
        <v>564</v>
      </c>
      <c r="I145" s="81" t="s">
        <v>564</v>
      </c>
      <c r="J145" s="81" t="s">
        <v>7</v>
      </c>
      <c r="K145" s="131"/>
      <c r="L145" s="131"/>
      <c r="M145" s="84" t="s">
        <v>66</v>
      </c>
      <c r="N145" s="87"/>
      <c r="O145" s="86"/>
      <c r="P145" s="148"/>
      <c r="Q145" s="319" t="s">
        <v>94</v>
      </c>
      <c r="R145" s="82"/>
      <c r="S145" s="82" t="s">
        <v>119</v>
      </c>
      <c r="T145" s="82" t="s">
        <v>369</v>
      </c>
    </row>
    <row r="146" spans="1:20">
      <c r="A146" s="79" t="s">
        <v>61</v>
      </c>
      <c r="B146" s="79" t="s">
        <v>565</v>
      </c>
      <c r="C146" s="79" t="s">
        <v>566</v>
      </c>
      <c r="D146" s="80" t="s">
        <v>567</v>
      </c>
      <c r="E146" s="83" t="s">
        <v>65</v>
      </c>
      <c r="F146" s="85" t="s">
        <v>66</v>
      </c>
      <c r="G146" s="79" t="s">
        <v>266</v>
      </c>
      <c r="H146" s="79" t="s">
        <v>564</v>
      </c>
      <c r="I146" s="81" t="s">
        <v>564</v>
      </c>
      <c r="J146" s="81"/>
      <c r="K146" s="131"/>
      <c r="L146" s="131"/>
      <c r="M146" s="84" t="s">
        <v>66</v>
      </c>
      <c r="N146" s="87"/>
      <c r="O146" s="86"/>
      <c r="P146" s="148"/>
      <c r="Q146" s="319" t="s">
        <v>69</v>
      </c>
      <c r="R146" s="82"/>
      <c r="S146" s="82" t="s">
        <v>119</v>
      </c>
      <c r="T146" s="82" t="s">
        <v>369</v>
      </c>
    </row>
    <row r="147" spans="1:20">
      <c r="A147" s="79" t="s">
        <v>61</v>
      </c>
      <c r="B147" s="79" t="s">
        <v>568</v>
      </c>
      <c r="C147" s="79" t="s">
        <v>569</v>
      </c>
      <c r="D147" s="196" t="s">
        <v>570</v>
      </c>
      <c r="E147" s="83" t="s">
        <v>65</v>
      </c>
      <c r="F147" s="85" t="s">
        <v>66</v>
      </c>
      <c r="G147" s="79" t="s">
        <v>487</v>
      </c>
      <c r="H147" s="79" t="s">
        <v>488</v>
      </c>
      <c r="I147" s="81" t="s">
        <v>564</v>
      </c>
      <c r="J147" s="81"/>
      <c r="K147" s="131"/>
      <c r="L147" s="131"/>
      <c r="M147" s="84" t="s">
        <v>66</v>
      </c>
      <c r="N147" s="87">
        <v>46110</v>
      </c>
      <c r="O147" s="86"/>
      <c r="P147" s="148"/>
      <c r="Q147" s="319" t="s">
        <v>94</v>
      </c>
      <c r="R147" s="82"/>
      <c r="S147" s="82" t="s">
        <v>119</v>
      </c>
      <c r="T147" s="82" t="s">
        <v>205</v>
      </c>
    </row>
    <row r="148" spans="1:20">
      <c r="A148" s="79" t="s">
        <v>61</v>
      </c>
      <c r="B148" s="79" t="s">
        <v>571</v>
      </c>
      <c r="C148" s="79" t="s">
        <v>572</v>
      </c>
      <c r="D148" s="193" t="s">
        <v>573</v>
      </c>
      <c r="E148" s="178" t="s">
        <v>574</v>
      </c>
      <c r="F148" s="85" t="s">
        <v>77</v>
      </c>
      <c r="G148" s="79" t="s">
        <v>487</v>
      </c>
      <c r="H148" s="79" t="s">
        <v>492</v>
      </c>
      <c r="I148" s="81" t="s">
        <v>492</v>
      </c>
      <c r="J148" s="139" t="s">
        <v>17</v>
      </c>
      <c r="K148" s="131" t="s">
        <v>17</v>
      </c>
      <c r="L148" s="131" t="s">
        <v>193</v>
      </c>
      <c r="M148" s="84" t="s">
        <v>77</v>
      </c>
      <c r="N148" s="87"/>
      <c r="O148" s="86"/>
      <c r="P148" s="148"/>
      <c r="Q148" s="319" t="s">
        <v>77</v>
      </c>
      <c r="R148" s="82"/>
      <c r="S148" s="82" t="s">
        <v>70</v>
      </c>
      <c r="T148" s="82" t="s">
        <v>205</v>
      </c>
    </row>
    <row r="149" spans="1:20">
      <c r="A149" s="79" t="s">
        <v>61</v>
      </c>
      <c r="B149" s="106" t="s">
        <v>575</v>
      </c>
      <c r="C149" s="106" t="s">
        <v>576</v>
      </c>
      <c r="D149" s="80" t="s">
        <v>577</v>
      </c>
      <c r="E149" s="178" t="s">
        <v>578</v>
      </c>
      <c r="F149" s="85" t="s">
        <v>77</v>
      </c>
      <c r="G149" s="79" t="s">
        <v>487</v>
      </c>
      <c r="H149" s="79" t="s">
        <v>564</v>
      </c>
      <c r="I149" s="81" t="s">
        <v>564</v>
      </c>
      <c r="J149" s="139" t="s">
        <v>17</v>
      </c>
      <c r="K149" s="131" t="s">
        <v>17</v>
      </c>
      <c r="L149" s="131" t="s">
        <v>193</v>
      </c>
      <c r="M149" s="84" t="s">
        <v>77</v>
      </c>
      <c r="N149" s="87"/>
      <c r="O149" s="86"/>
      <c r="P149" s="148"/>
      <c r="Q149" s="319" t="s">
        <v>77</v>
      </c>
      <c r="R149" s="82"/>
      <c r="S149" s="82" t="s">
        <v>70</v>
      </c>
      <c r="T149" s="82" t="s">
        <v>71</v>
      </c>
    </row>
    <row r="150" spans="1:20">
      <c r="A150" s="79" t="s">
        <v>61</v>
      </c>
      <c r="B150" s="114" t="s">
        <v>579</v>
      </c>
      <c r="C150" s="114" t="s">
        <v>580</v>
      </c>
      <c r="D150" s="80" t="s">
        <v>581</v>
      </c>
      <c r="E150" s="83" t="s">
        <v>65</v>
      </c>
      <c r="F150" s="85" t="s">
        <v>66</v>
      </c>
      <c r="G150" s="79" t="s">
        <v>487</v>
      </c>
      <c r="H150" s="79" t="s">
        <v>492</v>
      </c>
      <c r="I150" s="81" t="s">
        <v>492</v>
      </c>
      <c r="J150" s="81" t="s">
        <v>7</v>
      </c>
      <c r="K150" s="131"/>
      <c r="L150" s="131"/>
      <c r="M150" s="84" t="s">
        <v>66</v>
      </c>
      <c r="N150" s="87"/>
      <c r="O150" s="86"/>
      <c r="P150" s="148"/>
      <c r="Q150" s="319" t="s">
        <v>94</v>
      </c>
      <c r="R150" s="82"/>
      <c r="S150" s="82" t="s">
        <v>119</v>
      </c>
      <c r="T150" s="82" t="s">
        <v>205</v>
      </c>
    </row>
    <row r="151" spans="1:20">
      <c r="A151" s="79" t="s">
        <v>61</v>
      </c>
      <c r="B151" s="79" t="s">
        <v>582</v>
      </c>
      <c r="C151" s="79" t="s">
        <v>583</v>
      </c>
      <c r="D151" s="80" t="s">
        <v>584</v>
      </c>
      <c r="E151" s="83" t="s">
        <v>65</v>
      </c>
      <c r="F151" s="85" t="s">
        <v>66</v>
      </c>
      <c r="G151" s="79" t="s">
        <v>487</v>
      </c>
      <c r="H151" s="79" t="s">
        <v>488</v>
      </c>
      <c r="I151" s="109" t="s">
        <v>488</v>
      </c>
      <c r="J151" s="81" t="s">
        <v>1</v>
      </c>
      <c r="K151" s="131"/>
      <c r="L151" s="131"/>
      <c r="M151" s="84" t="s">
        <v>66</v>
      </c>
      <c r="N151" s="87">
        <v>46128</v>
      </c>
      <c r="O151" s="86">
        <v>46130</v>
      </c>
      <c r="P151" s="148"/>
      <c r="Q151" s="319" t="s">
        <v>94</v>
      </c>
      <c r="R151" s="82"/>
      <c r="S151" s="82" t="s">
        <v>119</v>
      </c>
      <c r="T151" s="82" t="s">
        <v>205</v>
      </c>
    </row>
    <row r="152" spans="1:20">
      <c r="A152" s="79" t="s">
        <v>61</v>
      </c>
      <c r="B152" s="79" t="s">
        <v>585</v>
      </c>
      <c r="C152" s="79" t="s">
        <v>586</v>
      </c>
      <c r="D152" s="80" t="s">
        <v>587</v>
      </c>
      <c r="E152" s="83" t="s">
        <v>65</v>
      </c>
      <c r="F152" s="85" t="s">
        <v>66</v>
      </c>
      <c r="G152" s="79" t="s">
        <v>487</v>
      </c>
      <c r="H152" s="79" t="s">
        <v>492</v>
      </c>
      <c r="I152" s="81" t="s">
        <v>492</v>
      </c>
      <c r="J152" s="81" t="s">
        <v>7</v>
      </c>
      <c r="K152" s="131"/>
      <c r="L152" s="131"/>
      <c r="M152" s="84" t="s">
        <v>66</v>
      </c>
      <c r="N152" s="87"/>
      <c r="O152" s="86"/>
      <c r="P152" s="148"/>
      <c r="Q152" s="319" t="s">
        <v>94</v>
      </c>
      <c r="R152" s="82"/>
      <c r="S152" s="82" t="s">
        <v>119</v>
      </c>
      <c r="T152" s="82" t="s">
        <v>205</v>
      </c>
    </row>
    <row r="153" spans="1:20">
      <c r="A153" s="79" t="s">
        <v>61</v>
      </c>
      <c r="B153" s="79" t="s">
        <v>588</v>
      </c>
      <c r="C153" s="79" t="s">
        <v>589</v>
      </c>
      <c r="D153" s="80" t="s">
        <v>590</v>
      </c>
      <c r="E153" s="83" t="s">
        <v>65</v>
      </c>
      <c r="F153" s="85" t="s">
        <v>66</v>
      </c>
      <c r="G153" s="79" t="s">
        <v>487</v>
      </c>
      <c r="H153" s="79" t="s">
        <v>492</v>
      </c>
      <c r="I153" s="81" t="s">
        <v>492</v>
      </c>
      <c r="J153" s="81" t="s">
        <v>1</v>
      </c>
      <c r="K153" s="131"/>
      <c r="L153" s="131"/>
      <c r="M153" s="84" t="s">
        <v>66</v>
      </c>
      <c r="N153" s="87">
        <v>46127</v>
      </c>
      <c r="O153" s="86">
        <v>46132</v>
      </c>
      <c r="P153" s="148"/>
      <c r="Q153" s="319" t="s">
        <v>94</v>
      </c>
      <c r="R153" s="82"/>
      <c r="S153" s="82" t="s">
        <v>119</v>
      </c>
      <c r="T153" s="82" t="s">
        <v>205</v>
      </c>
    </row>
    <row r="154" spans="1:20">
      <c r="A154" s="79" t="s">
        <v>61</v>
      </c>
      <c r="B154" s="79" t="s">
        <v>591</v>
      </c>
      <c r="C154" s="79" t="s">
        <v>592</v>
      </c>
      <c r="D154" s="80" t="s">
        <v>593</v>
      </c>
      <c r="E154" s="83" t="s">
        <v>65</v>
      </c>
      <c r="F154" s="85" t="s">
        <v>66</v>
      </c>
      <c r="G154" s="79" t="s">
        <v>487</v>
      </c>
      <c r="H154" s="79" t="s">
        <v>488</v>
      </c>
      <c r="I154" s="81" t="s">
        <v>488</v>
      </c>
      <c r="J154" s="81" t="s">
        <v>7</v>
      </c>
      <c r="K154" s="131"/>
      <c r="L154" s="131"/>
      <c r="M154" s="84" t="s">
        <v>66</v>
      </c>
      <c r="N154" s="87"/>
      <c r="O154" s="86"/>
      <c r="P154" s="148"/>
      <c r="Q154" s="319" t="s">
        <v>69</v>
      </c>
      <c r="R154" s="82"/>
      <c r="S154" s="82" t="s">
        <v>119</v>
      </c>
      <c r="T154" s="82" t="s">
        <v>205</v>
      </c>
    </row>
    <row r="155" spans="1:20">
      <c r="A155" s="79" t="s">
        <v>61</v>
      </c>
      <c r="B155" s="345" t="s">
        <v>594</v>
      </c>
      <c r="C155" s="246" t="s">
        <v>595</v>
      </c>
      <c r="D155" s="346" t="s">
        <v>596</v>
      </c>
      <c r="E155" s="83" t="s">
        <v>65</v>
      </c>
      <c r="F155" s="85" t="s">
        <v>77</v>
      </c>
      <c r="G155" s="79" t="s">
        <v>487</v>
      </c>
      <c r="H155" s="79" t="s">
        <v>488</v>
      </c>
      <c r="I155" s="81" t="s">
        <v>492</v>
      </c>
      <c r="J155" s="81"/>
      <c r="K155" s="131"/>
      <c r="L155" s="131"/>
      <c r="M155" s="84" t="s">
        <v>77</v>
      </c>
      <c r="N155" s="87"/>
      <c r="O155" s="86"/>
      <c r="P155" s="148"/>
      <c r="Q155" s="319" t="s">
        <v>77</v>
      </c>
      <c r="R155" s="82"/>
      <c r="S155" s="82" t="s">
        <v>119</v>
      </c>
      <c r="T155" s="82" t="s">
        <v>205</v>
      </c>
    </row>
    <row r="156" spans="1:20">
      <c r="A156" s="106" t="s">
        <v>61</v>
      </c>
      <c r="B156" s="347" t="s">
        <v>597</v>
      </c>
      <c r="C156" s="347" t="s">
        <v>598</v>
      </c>
      <c r="D156" s="321" t="s">
        <v>599</v>
      </c>
      <c r="E156" s="107" t="s">
        <v>65</v>
      </c>
      <c r="F156" s="85" t="s">
        <v>77</v>
      </c>
      <c r="G156" s="79" t="s">
        <v>363</v>
      </c>
      <c r="H156" s="79" t="s">
        <v>364</v>
      </c>
      <c r="I156" s="81" t="s">
        <v>364</v>
      </c>
      <c r="J156" s="102" t="s">
        <v>4</v>
      </c>
      <c r="K156" s="131"/>
      <c r="L156" s="131"/>
      <c r="M156" s="84" t="s">
        <v>77</v>
      </c>
      <c r="N156" s="87"/>
      <c r="O156" s="86"/>
      <c r="P156" s="148"/>
      <c r="Q156" s="319"/>
      <c r="R156" s="82"/>
      <c r="S156" s="82" t="s">
        <v>70</v>
      </c>
      <c r="T156" s="82"/>
    </row>
    <row r="157" spans="1:20">
      <c r="A157" s="106" t="s">
        <v>61</v>
      </c>
      <c r="B157" s="344" t="s">
        <v>600</v>
      </c>
      <c r="C157" s="344" t="s">
        <v>601</v>
      </c>
      <c r="D157" s="321" t="s">
        <v>602</v>
      </c>
      <c r="E157" s="107" t="s">
        <v>65</v>
      </c>
      <c r="F157" s="85" t="s">
        <v>77</v>
      </c>
      <c r="G157" s="79" t="s">
        <v>363</v>
      </c>
      <c r="H157" s="79" t="s">
        <v>364</v>
      </c>
      <c r="I157" s="81" t="s">
        <v>364</v>
      </c>
      <c r="J157" s="102" t="s">
        <v>4</v>
      </c>
      <c r="K157" s="131"/>
      <c r="L157" s="131"/>
      <c r="M157" s="84" t="s">
        <v>77</v>
      </c>
      <c r="N157" s="87"/>
      <c r="O157" s="86"/>
      <c r="P157" s="148"/>
      <c r="Q157" s="319"/>
      <c r="R157" s="82"/>
      <c r="S157" s="82" t="s">
        <v>70</v>
      </c>
      <c r="T157" s="82"/>
    </row>
    <row r="158" spans="1:20">
      <c r="A158" s="106" t="s">
        <v>61</v>
      </c>
      <c r="B158" s="344" t="s">
        <v>603</v>
      </c>
      <c r="C158" s="344" t="s">
        <v>604</v>
      </c>
      <c r="D158" s="321" t="s">
        <v>605</v>
      </c>
      <c r="E158" s="107" t="s">
        <v>65</v>
      </c>
      <c r="F158" s="85" t="s">
        <v>77</v>
      </c>
      <c r="G158" s="79" t="s">
        <v>363</v>
      </c>
      <c r="H158" s="79" t="s">
        <v>364</v>
      </c>
      <c r="I158" s="81" t="s">
        <v>364</v>
      </c>
      <c r="J158" s="102" t="s">
        <v>4</v>
      </c>
      <c r="K158" s="131"/>
      <c r="L158" s="131"/>
      <c r="M158" s="84" t="s">
        <v>77</v>
      </c>
      <c r="N158" s="87"/>
      <c r="O158" s="86"/>
      <c r="P158" s="148"/>
      <c r="Q158" s="319"/>
      <c r="R158" s="82"/>
      <c r="S158" s="82" t="s">
        <v>70</v>
      </c>
      <c r="T158" s="82"/>
    </row>
    <row r="159" spans="1:20">
      <c r="A159" s="106" t="s">
        <v>61</v>
      </c>
      <c r="B159" s="79">
        <v>0</v>
      </c>
      <c r="C159" s="79">
        <v>0</v>
      </c>
      <c r="D159" s="277" t="s">
        <v>606</v>
      </c>
      <c r="E159" s="107" t="s">
        <v>65</v>
      </c>
      <c r="F159" s="85" t="s">
        <v>77</v>
      </c>
      <c r="G159" s="79" t="s">
        <v>487</v>
      </c>
      <c r="H159" s="79" t="s">
        <v>488</v>
      </c>
      <c r="I159" s="81" t="s">
        <v>492</v>
      </c>
      <c r="J159" s="102" t="s">
        <v>12</v>
      </c>
      <c r="K159" s="131"/>
      <c r="L159" s="131"/>
      <c r="M159" s="84" t="s">
        <v>77</v>
      </c>
      <c r="N159" s="87"/>
      <c r="O159" s="86"/>
      <c r="P159" s="148"/>
      <c r="Q159" s="319"/>
      <c r="R159" s="82"/>
      <c r="S159" s="82"/>
      <c r="T159" s="82"/>
    </row>
    <row r="160" spans="1:20">
      <c r="A160" s="106" t="s">
        <v>61</v>
      </c>
      <c r="B160" s="79">
        <v>3</v>
      </c>
      <c r="C160" s="79">
        <v>1</v>
      </c>
      <c r="D160" s="245" t="s">
        <v>607</v>
      </c>
      <c r="E160" s="107" t="s">
        <v>65</v>
      </c>
      <c r="F160" s="85" t="s">
        <v>77</v>
      </c>
      <c r="G160" s="79" t="s">
        <v>487</v>
      </c>
      <c r="H160" s="79" t="s">
        <v>488</v>
      </c>
      <c r="I160" s="81" t="s">
        <v>492</v>
      </c>
      <c r="J160" s="102" t="s">
        <v>12</v>
      </c>
      <c r="K160" s="131"/>
      <c r="L160" s="131"/>
      <c r="M160" s="84" t="s">
        <v>77</v>
      </c>
      <c r="N160" s="87"/>
      <c r="O160" s="86"/>
      <c r="P160" s="148"/>
      <c r="Q160" s="319"/>
      <c r="R160" s="82"/>
      <c r="S160" s="82"/>
      <c r="T160" s="82"/>
    </row>
    <row r="161" spans="1:20">
      <c r="A161" s="106" t="s">
        <v>61</v>
      </c>
      <c r="B161" s="79">
        <v>4</v>
      </c>
      <c r="C161" s="79">
        <v>2</v>
      </c>
      <c r="D161" s="244" t="s">
        <v>608</v>
      </c>
      <c r="E161" s="107" t="s">
        <v>65</v>
      </c>
      <c r="F161" s="85" t="s">
        <v>77</v>
      </c>
      <c r="G161" s="79" t="s">
        <v>487</v>
      </c>
      <c r="H161" s="79" t="s">
        <v>488</v>
      </c>
      <c r="I161" s="81" t="s">
        <v>492</v>
      </c>
      <c r="J161" s="102" t="s">
        <v>12</v>
      </c>
      <c r="K161" s="131"/>
      <c r="L161" s="131"/>
      <c r="M161" s="84" t="s">
        <v>77</v>
      </c>
      <c r="N161" s="87"/>
      <c r="O161" s="86"/>
      <c r="P161" s="148"/>
      <c r="Q161" s="319"/>
      <c r="R161" s="82"/>
      <c r="S161" s="82"/>
      <c r="T161" s="82"/>
    </row>
  </sheetData>
  <sheetProtection selectLockedCells="1"/>
  <phoneticPr fontId="1" type="noConversion"/>
  <conditionalFormatting sqref="B145:B148 B118:B120 B1:B13 B132 B134:B142 B95:B107 B24:B62 B15:B22 B64:B91 B150:B154 B109:B116 B156:B1048576">
    <cfRule type="duplicateValues" dxfId="158" priority="113"/>
  </conditionalFormatting>
  <conditionalFormatting sqref="C1:C1048576">
    <cfRule type="duplicateValues" dxfId="157" priority="1"/>
  </conditionalFormatting>
  <conditionalFormatting sqref="C118:C142 C95:C107 C2:C8 C15:C21 C24:C62 C64:C91 C10:C13 C109:C116">
    <cfRule type="duplicateValues" dxfId="156" priority="1066"/>
  </conditionalFormatting>
  <conditionalFormatting sqref="D1:D161">
    <cfRule type="duplicateValues" dxfId="155" priority="1285"/>
  </conditionalFormatting>
  <conditionalFormatting sqref="D1:D1048576">
    <cfRule type="duplicateValues" dxfId="154" priority="2"/>
    <cfRule type="duplicateValues" dxfId="153" priority="5"/>
    <cfRule type="duplicateValues" dxfId="152" priority="105"/>
    <cfRule type="duplicateValues" dxfId="151" priority="106"/>
  </conditionalFormatting>
  <conditionalFormatting sqref="J1:L1048576">
    <cfRule type="cellIs" dxfId="150" priority="7" operator="equal">
      <formula>"Desligado"</formula>
    </cfRule>
  </conditionalFormatting>
  <conditionalFormatting sqref="L2:L161">
    <cfRule type="cellIs" dxfId="149" priority="6" operator="equal">
      <formula>"Baixa"</formula>
    </cfRule>
  </conditionalFormatting>
  <dataValidations count="1">
    <dataValidation type="list" allowBlank="1" showInputMessage="1" showErrorMessage="1" sqref="L2:L161" xr:uid="{D4496502-D11E-4DC2-820B-1D987E4E6BBE}">
      <formula1>"Baixa"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&amp;L_x000D_&amp;1#&amp;"Aptos"&amp;10&amp;K000000 Uso Corporativo</oddFooter>
  </headerFooter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5BEDDD-674B-4052-8691-6A2CD50A0ED4}">
          <x14:formula1>
            <xm:f>'Lista Pendencia'!$A$1:$A$21</xm:f>
          </x14:formula1>
          <xm:sqref>K2:K155 J2:J161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9220E-0AD4-48DC-AE9E-027B8C90F225}">
  <dimension ref="A1:V48"/>
  <sheetViews>
    <sheetView topLeftCell="A29" workbookViewId="0">
      <selection activeCell="K39" sqref="K39"/>
    </sheetView>
  </sheetViews>
  <sheetFormatPr defaultRowHeight="15"/>
  <cols>
    <col min="1" max="1" width="3.42578125" bestFit="1" customWidth="1"/>
    <col min="2" max="2" width="7.7109375" bestFit="1" customWidth="1"/>
    <col min="3" max="3" width="7.5703125" bestFit="1" customWidth="1"/>
    <col min="4" max="4" width="29" bestFit="1" customWidth="1"/>
    <col min="5" max="5" width="19.28515625" bestFit="1" customWidth="1"/>
    <col min="6" max="6" width="9.42578125" bestFit="1" customWidth="1"/>
    <col min="7" max="7" width="26.7109375" bestFit="1" customWidth="1"/>
    <col min="8" max="9" width="13.140625" bestFit="1" customWidth="1"/>
    <col min="10" max="10" width="10.42578125" customWidth="1"/>
    <col min="11" max="11" width="16.140625" bestFit="1" customWidth="1"/>
    <col min="12" max="12" width="7.28515625" bestFit="1" customWidth="1"/>
    <col min="13" max="13" width="12.28515625" bestFit="1" customWidth="1"/>
    <col min="14" max="14" width="18.28515625" customWidth="1"/>
    <col min="15" max="15" width="21.140625" customWidth="1"/>
    <col min="16" max="16" width="20.5703125" hidden="1" customWidth="1"/>
  </cols>
  <sheetData>
    <row r="1" spans="1:14">
      <c r="A1" s="103" t="s">
        <v>38</v>
      </c>
      <c r="B1" s="335" t="s">
        <v>39</v>
      </c>
      <c r="C1" s="335" t="s">
        <v>40</v>
      </c>
      <c r="D1" s="335" t="s">
        <v>41</v>
      </c>
      <c r="E1" s="335" t="s">
        <v>42</v>
      </c>
      <c r="F1" s="335" t="s">
        <v>43</v>
      </c>
      <c r="G1" s="335" t="s">
        <v>44</v>
      </c>
      <c r="H1" s="335" t="s">
        <v>45</v>
      </c>
      <c r="I1" s="335" t="s">
        <v>46</v>
      </c>
      <c r="J1" s="336" t="s">
        <v>47</v>
      </c>
      <c r="K1" s="103" t="s">
        <v>50</v>
      </c>
      <c r="L1" s="104" t="s">
        <v>51</v>
      </c>
      <c r="M1" s="105" t="s">
        <v>52</v>
      </c>
      <c r="N1" s="96" t="s">
        <v>53</v>
      </c>
    </row>
    <row r="2" spans="1:14">
      <c r="A2" s="327" t="s">
        <v>609</v>
      </c>
      <c r="B2" s="106" t="s">
        <v>610</v>
      </c>
      <c r="C2" s="106" t="s">
        <v>611</v>
      </c>
      <c r="D2" s="135" t="s">
        <v>612</v>
      </c>
      <c r="E2" s="107" t="s">
        <v>65</v>
      </c>
      <c r="F2" s="108" t="s">
        <v>77</v>
      </c>
      <c r="G2" s="106" t="s">
        <v>613</v>
      </c>
      <c r="H2" s="106" t="s">
        <v>204</v>
      </c>
      <c r="I2" s="109" t="s">
        <v>204</v>
      </c>
      <c r="J2" s="110" t="s">
        <v>3</v>
      </c>
      <c r="K2" s="330" t="s">
        <v>66</v>
      </c>
      <c r="L2" s="118"/>
      <c r="M2" s="111"/>
      <c r="N2" s="82"/>
    </row>
    <row r="3" spans="1:14">
      <c r="A3" s="327" t="s">
        <v>61</v>
      </c>
      <c r="B3" s="106" t="s">
        <v>614</v>
      </c>
      <c r="C3" s="106" t="s">
        <v>615</v>
      </c>
      <c r="D3" s="135" t="s">
        <v>616</v>
      </c>
      <c r="E3" s="107" t="s">
        <v>65</v>
      </c>
      <c r="F3" s="108" t="s">
        <v>77</v>
      </c>
      <c r="G3" s="106" t="s">
        <v>67</v>
      </c>
      <c r="H3" s="106" t="s">
        <v>93</v>
      </c>
      <c r="I3" s="109" t="s">
        <v>93</v>
      </c>
      <c r="J3" s="110" t="s">
        <v>3</v>
      </c>
      <c r="K3" s="330" t="s">
        <v>77</v>
      </c>
      <c r="L3" s="118">
        <v>46036</v>
      </c>
      <c r="M3" s="111"/>
      <c r="N3" s="82"/>
    </row>
    <row r="4" spans="1:14">
      <c r="A4" s="327" t="s">
        <v>61</v>
      </c>
      <c r="B4" s="106" t="s">
        <v>617</v>
      </c>
      <c r="C4" s="106" t="s">
        <v>618</v>
      </c>
      <c r="D4" s="135" t="s">
        <v>619</v>
      </c>
      <c r="E4" s="107" t="s">
        <v>65</v>
      </c>
      <c r="F4" s="108" t="s">
        <v>66</v>
      </c>
      <c r="G4" s="106" t="s">
        <v>317</v>
      </c>
      <c r="H4" s="106" t="s">
        <v>143</v>
      </c>
      <c r="I4" s="109" t="s">
        <v>143</v>
      </c>
      <c r="J4" s="110" t="s">
        <v>3</v>
      </c>
      <c r="K4" s="330" t="s">
        <v>66</v>
      </c>
      <c r="L4" s="118">
        <v>46043</v>
      </c>
      <c r="M4" s="111"/>
      <c r="N4" s="82"/>
    </row>
    <row r="5" spans="1:14">
      <c r="A5" s="327" t="s">
        <v>609</v>
      </c>
      <c r="B5" s="106" t="s">
        <v>620</v>
      </c>
      <c r="C5" s="106" t="s">
        <v>621</v>
      </c>
      <c r="D5" s="135" t="s">
        <v>622</v>
      </c>
      <c r="E5" s="107" t="s">
        <v>65</v>
      </c>
      <c r="F5" s="108" t="s">
        <v>77</v>
      </c>
      <c r="G5" s="106" t="s">
        <v>363</v>
      </c>
      <c r="H5" s="106" t="s">
        <v>364</v>
      </c>
      <c r="I5" s="109" t="s">
        <v>364</v>
      </c>
      <c r="J5" s="110" t="s">
        <v>3</v>
      </c>
      <c r="K5" s="330" t="s">
        <v>77</v>
      </c>
      <c r="L5" s="118"/>
      <c r="M5" s="111"/>
      <c r="N5" s="82"/>
    </row>
    <row r="6" spans="1:14">
      <c r="A6" s="327" t="s">
        <v>61</v>
      </c>
      <c r="B6" s="106" t="s">
        <v>623</v>
      </c>
      <c r="C6" s="106" t="s">
        <v>624</v>
      </c>
      <c r="D6" s="135" t="s">
        <v>625</v>
      </c>
      <c r="E6" s="107" t="s">
        <v>65</v>
      </c>
      <c r="F6" s="108" t="s">
        <v>66</v>
      </c>
      <c r="G6" s="106" t="s">
        <v>266</v>
      </c>
      <c r="H6" s="106" t="s">
        <v>273</v>
      </c>
      <c r="I6" s="109" t="s">
        <v>273</v>
      </c>
      <c r="J6" s="110" t="s">
        <v>3</v>
      </c>
      <c r="K6" s="330" t="s">
        <v>66</v>
      </c>
      <c r="L6" s="118">
        <v>46049</v>
      </c>
      <c r="M6" s="111"/>
      <c r="N6" s="82"/>
    </row>
    <row r="7" spans="1:14">
      <c r="A7" s="327" t="s">
        <v>609</v>
      </c>
      <c r="B7" s="106" t="s">
        <v>626</v>
      </c>
      <c r="C7" s="106" t="s">
        <v>627</v>
      </c>
      <c r="D7" s="135" t="s">
        <v>628</v>
      </c>
      <c r="E7" s="107" t="s">
        <v>65</v>
      </c>
      <c r="F7" s="108" t="s">
        <v>77</v>
      </c>
      <c r="G7" s="106" t="s">
        <v>363</v>
      </c>
      <c r="H7" s="106" t="s">
        <v>364</v>
      </c>
      <c r="I7" s="109" t="s">
        <v>364</v>
      </c>
      <c r="J7" s="110" t="s">
        <v>3</v>
      </c>
      <c r="K7" s="330" t="s">
        <v>77</v>
      </c>
      <c r="L7" s="118"/>
      <c r="M7" s="111"/>
      <c r="N7" s="82"/>
    </row>
    <row r="8" spans="1:14">
      <c r="A8" s="327" t="s">
        <v>609</v>
      </c>
      <c r="B8" s="106" t="s">
        <v>629</v>
      </c>
      <c r="C8" s="106" t="s">
        <v>630</v>
      </c>
      <c r="D8" s="135" t="s">
        <v>631</v>
      </c>
      <c r="E8" s="107" t="s">
        <v>65</v>
      </c>
      <c r="F8" s="108" t="s">
        <v>77</v>
      </c>
      <c r="G8" s="106" t="s">
        <v>363</v>
      </c>
      <c r="H8" s="106" t="s">
        <v>364</v>
      </c>
      <c r="I8" s="109" t="s">
        <v>364</v>
      </c>
      <c r="J8" s="110" t="s">
        <v>3</v>
      </c>
      <c r="K8" s="330" t="s">
        <v>77</v>
      </c>
      <c r="L8" s="118"/>
      <c r="M8" s="111"/>
      <c r="N8" s="82"/>
    </row>
    <row r="9" spans="1:14">
      <c r="A9" s="327" t="s">
        <v>609</v>
      </c>
      <c r="B9" s="106" t="s">
        <v>632</v>
      </c>
      <c r="C9" s="106" t="s">
        <v>633</v>
      </c>
      <c r="D9" s="135" t="s">
        <v>634</v>
      </c>
      <c r="E9" s="107" t="s">
        <v>65</v>
      </c>
      <c r="F9" s="108" t="s">
        <v>77</v>
      </c>
      <c r="G9" s="106" t="s">
        <v>363</v>
      </c>
      <c r="H9" s="106" t="s">
        <v>364</v>
      </c>
      <c r="I9" s="109" t="s">
        <v>364</v>
      </c>
      <c r="J9" s="110" t="s">
        <v>3</v>
      </c>
      <c r="K9" s="330" t="s">
        <v>77</v>
      </c>
      <c r="L9" s="118"/>
      <c r="M9" s="111"/>
      <c r="N9" s="82"/>
    </row>
    <row r="10" spans="1:14">
      <c r="A10" s="327" t="s">
        <v>609</v>
      </c>
      <c r="B10" s="106" t="s">
        <v>635</v>
      </c>
      <c r="C10" s="106" t="s">
        <v>635</v>
      </c>
      <c r="D10" s="135" t="s">
        <v>636</v>
      </c>
      <c r="E10" s="107" t="s">
        <v>65</v>
      </c>
      <c r="F10" s="108" t="s">
        <v>77</v>
      </c>
      <c r="G10" s="106" t="s">
        <v>613</v>
      </c>
      <c r="H10" s="106" t="s">
        <v>204</v>
      </c>
      <c r="I10" s="109" t="s">
        <v>204</v>
      </c>
      <c r="J10" s="110" t="s">
        <v>3</v>
      </c>
      <c r="K10" s="330" t="s">
        <v>66</v>
      </c>
      <c r="L10" s="118"/>
      <c r="M10" s="111"/>
      <c r="N10" s="82"/>
    </row>
    <row r="11" spans="1:14">
      <c r="A11" s="327" t="s">
        <v>609</v>
      </c>
      <c r="B11" s="106" t="s">
        <v>637</v>
      </c>
      <c r="C11" s="106" t="s">
        <v>638</v>
      </c>
      <c r="D11" s="135" t="s">
        <v>639</v>
      </c>
      <c r="E11" s="107" t="s">
        <v>65</v>
      </c>
      <c r="F11" s="108" t="s">
        <v>77</v>
      </c>
      <c r="G11" s="106" t="s">
        <v>640</v>
      </c>
      <c r="H11" s="106" t="s">
        <v>492</v>
      </c>
      <c r="I11" s="109" t="s">
        <v>492</v>
      </c>
      <c r="J11" s="110" t="s">
        <v>3</v>
      </c>
      <c r="K11" s="330" t="s">
        <v>77</v>
      </c>
      <c r="L11" s="118"/>
      <c r="M11" s="111"/>
      <c r="N11" s="82" t="s">
        <v>641</v>
      </c>
    </row>
    <row r="12" spans="1:14">
      <c r="A12" s="327" t="s">
        <v>61</v>
      </c>
      <c r="B12" s="106" t="s">
        <v>642</v>
      </c>
      <c r="C12" s="106" t="s">
        <v>643</v>
      </c>
      <c r="D12" s="135" t="s">
        <v>644</v>
      </c>
      <c r="E12" s="107" t="s">
        <v>65</v>
      </c>
      <c r="F12" s="108" t="s">
        <v>77</v>
      </c>
      <c r="G12" s="106" t="s">
        <v>363</v>
      </c>
      <c r="H12" s="106" t="s">
        <v>364</v>
      </c>
      <c r="I12" s="109" t="s">
        <v>364</v>
      </c>
      <c r="J12" s="110" t="s">
        <v>3</v>
      </c>
      <c r="K12" s="330" t="s">
        <v>77</v>
      </c>
      <c r="L12" s="118"/>
      <c r="M12" s="111"/>
      <c r="N12" s="82"/>
    </row>
    <row r="13" spans="1:14">
      <c r="A13" s="327" t="s">
        <v>61</v>
      </c>
      <c r="B13" s="106" t="s">
        <v>645</v>
      </c>
      <c r="C13" s="106" t="s">
        <v>646</v>
      </c>
      <c r="D13" s="135" t="s">
        <v>647</v>
      </c>
      <c r="E13" s="107" t="s">
        <v>65</v>
      </c>
      <c r="F13" s="108" t="s">
        <v>88</v>
      </c>
      <c r="G13" s="106" t="s">
        <v>414</v>
      </c>
      <c r="H13" s="106" t="s">
        <v>415</v>
      </c>
      <c r="I13" s="109" t="s">
        <v>415</v>
      </c>
      <c r="J13" s="110" t="s">
        <v>3</v>
      </c>
      <c r="K13" s="330" t="s">
        <v>88</v>
      </c>
      <c r="L13" s="118">
        <v>46027</v>
      </c>
      <c r="M13" s="111"/>
      <c r="N13" s="82" t="s">
        <v>648</v>
      </c>
    </row>
    <row r="14" spans="1:14">
      <c r="A14" s="327" t="s">
        <v>61</v>
      </c>
      <c r="B14" s="106" t="s">
        <v>649</v>
      </c>
      <c r="C14" s="106" t="s">
        <v>650</v>
      </c>
      <c r="D14" s="135" t="s">
        <v>651</v>
      </c>
      <c r="E14" s="107" t="s">
        <v>65</v>
      </c>
      <c r="F14" s="108" t="s">
        <v>77</v>
      </c>
      <c r="G14" s="106" t="s">
        <v>613</v>
      </c>
      <c r="H14" s="106" t="s">
        <v>204</v>
      </c>
      <c r="I14" s="109" t="s">
        <v>204</v>
      </c>
      <c r="J14" s="110" t="s">
        <v>3</v>
      </c>
      <c r="K14" s="330" t="s">
        <v>66</v>
      </c>
      <c r="L14" s="118">
        <v>46027</v>
      </c>
      <c r="M14" s="111"/>
      <c r="N14" s="82" t="s">
        <v>648</v>
      </c>
    </row>
    <row r="15" spans="1:14">
      <c r="A15" s="327" t="s">
        <v>61</v>
      </c>
      <c r="B15" s="106" t="s">
        <v>652</v>
      </c>
      <c r="C15" s="106" t="s">
        <v>653</v>
      </c>
      <c r="D15" s="135" t="s">
        <v>654</v>
      </c>
      <c r="E15" s="107" t="s">
        <v>65</v>
      </c>
      <c r="F15" s="108" t="s">
        <v>77</v>
      </c>
      <c r="G15" s="106" t="s">
        <v>655</v>
      </c>
      <c r="H15" s="106" t="s">
        <v>492</v>
      </c>
      <c r="I15" s="109" t="s">
        <v>492</v>
      </c>
      <c r="J15" s="110" t="s">
        <v>3</v>
      </c>
      <c r="K15" s="330" t="s">
        <v>77</v>
      </c>
      <c r="L15" s="118">
        <v>46027</v>
      </c>
      <c r="M15" s="111"/>
      <c r="N15" s="82" t="s">
        <v>648</v>
      </c>
    </row>
    <row r="16" spans="1:14">
      <c r="A16" s="327" t="s">
        <v>61</v>
      </c>
      <c r="B16" s="106" t="s">
        <v>656</v>
      </c>
      <c r="C16" s="106" t="s">
        <v>657</v>
      </c>
      <c r="D16" s="135" t="s">
        <v>658</v>
      </c>
      <c r="E16" s="107" t="s">
        <v>65</v>
      </c>
      <c r="F16" s="108" t="s">
        <v>88</v>
      </c>
      <c r="G16" s="106" t="s">
        <v>613</v>
      </c>
      <c r="H16" s="106" t="s">
        <v>204</v>
      </c>
      <c r="I16" s="109" t="s">
        <v>204</v>
      </c>
      <c r="J16" s="110" t="s">
        <v>3</v>
      </c>
      <c r="K16" s="330" t="s">
        <v>66</v>
      </c>
      <c r="L16" s="118">
        <v>46027</v>
      </c>
      <c r="M16" s="111"/>
      <c r="N16" s="82" t="s">
        <v>648</v>
      </c>
    </row>
    <row r="17" spans="1:16">
      <c r="A17" s="327" t="s">
        <v>61</v>
      </c>
      <c r="B17" s="106" t="s">
        <v>659</v>
      </c>
      <c r="C17" s="106" t="s">
        <v>660</v>
      </c>
      <c r="D17" s="135" t="s">
        <v>661</v>
      </c>
      <c r="E17" s="107" t="s">
        <v>65</v>
      </c>
      <c r="F17" s="108" t="s">
        <v>77</v>
      </c>
      <c r="G17" s="106" t="s">
        <v>414</v>
      </c>
      <c r="H17" s="106" t="s">
        <v>415</v>
      </c>
      <c r="I17" s="109" t="s">
        <v>415</v>
      </c>
      <c r="J17" s="110" t="s">
        <v>3</v>
      </c>
      <c r="K17" s="330" t="s">
        <v>77</v>
      </c>
      <c r="L17" s="118">
        <v>46027</v>
      </c>
      <c r="M17" s="111"/>
      <c r="N17" s="82" t="s">
        <v>648</v>
      </c>
    </row>
    <row r="18" spans="1:16">
      <c r="A18" s="327" t="s">
        <v>61</v>
      </c>
      <c r="B18" s="106" t="s">
        <v>662</v>
      </c>
      <c r="C18" s="106" t="s">
        <v>663</v>
      </c>
      <c r="D18" s="135" t="s">
        <v>664</v>
      </c>
      <c r="E18" s="107" t="s">
        <v>65</v>
      </c>
      <c r="F18" s="108" t="s">
        <v>88</v>
      </c>
      <c r="G18" s="106" t="s">
        <v>414</v>
      </c>
      <c r="H18" s="106" t="s">
        <v>415</v>
      </c>
      <c r="I18" s="109" t="s">
        <v>415</v>
      </c>
      <c r="J18" s="110" t="s">
        <v>3</v>
      </c>
      <c r="K18" s="330" t="s">
        <v>88</v>
      </c>
      <c r="L18" s="118">
        <v>46027</v>
      </c>
      <c r="M18" s="111"/>
      <c r="N18" s="82" t="s">
        <v>648</v>
      </c>
    </row>
    <row r="19" spans="1:16">
      <c r="A19" s="327" t="s">
        <v>61</v>
      </c>
      <c r="B19" s="106" t="s">
        <v>665</v>
      </c>
      <c r="C19" s="106" t="s">
        <v>666</v>
      </c>
      <c r="D19" s="135" t="s">
        <v>667</v>
      </c>
      <c r="E19" s="107" t="s">
        <v>65</v>
      </c>
      <c r="F19" s="108" t="s">
        <v>88</v>
      </c>
      <c r="G19" s="106" t="s">
        <v>655</v>
      </c>
      <c r="H19" s="106" t="s">
        <v>368</v>
      </c>
      <c r="I19" s="109" t="s">
        <v>368</v>
      </c>
      <c r="J19" s="110" t="s">
        <v>3</v>
      </c>
      <c r="K19" s="330" t="s">
        <v>88</v>
      </c>
      <c r="L19" s="118">
        <v>46027</v>
      </c>
      <c r="M19" s="111"/>
      <c r="N19" s="82" t="s">
        <v>648</v>
      </c>
    </row>
    <row r="20" spans="1:16">
      <c r="A20" s="327" t="s">
        <v>61</v>
      </c>
      <c r="B20" s="106" t="s">
        <v>668</v>
      </c>
      <c r="C20" s="106" t="s">
        <v>669</v>
      </c>
      <c r="D20" s="135" t="s">
        <v>670</v>
      </c>
      <c r="E20" s="107" t="s">
        <v>65</v>
      </c>
      <c r="F20" s="108" t="s">
        <v>77</v>
      </c>
      <c r="G20" s="106" t="s">
        <v>640</v>
      </c>
      <c r="H20" s="106" t="s">
        <v>488</v>
      </c>
      <c r="I20" s="109" t="s">
        <v>488</v>
      </c>
      <c r="J20" s="110" t="s">
        <v>3</v>
      </c>
      <c r="K20" s="330" t="s">
        <v>77</v>
      </c>
      <c r="L20" s="118">
        <v>46027</v>
      </c>
      <c r="M20" s="111"/>
      <c r="N20" s="82" t="s">
        <v>648</v>
      </c>
    </row>
    <row r="21" spans="1:16">
      <c r="A21" s="327" t="s">
        <v>61</v>
      </c>
      <c r="B21" s="106" t="s">
        <v>671</v>
      </c>
      <c r="C21" s="106" t="s">
        <v>672</v>
      </c>
      <c r="D21" s="135" t="s">
        <v>673</v>
      </c>
      <c r="E21" s="107" t="s">
        <v>65</v>
      </c>
      <c r="F21" s="108" t="s">
        <v>77</v>
      </c>
      <c r="G21" s="106" t="s">
        <v>117</v>
      </c>
      <c r="H21" s="106" t="s">
        <v>163</v>
      </c>
      <c r="I21" s="109" t="s">
        <v>163</v>
      </c>
      <c r="J21" s="110" t="s">
        <v>3</v>
      </c>
      <c r="K21" s="330" t="s">
        <v>66</v>
      </c>
      <c r="L21" s="118">
        <v>46027</v>
      </c>
      <c r="M21" s="111"/>
      <c r="N21" s="82" t="s">
        <v>648</v>
      </c>
    </row>
    <row r="22" spans="1:16">
      <c r="A22" s="327" t="s">
        <v>61</v>
      </c>
      <c r="B22" s="106" t="s">
        <v>674</v>
      </c>
      <c r="C22" s="106" t="s">
        <v>675</v>
      </c>
      <c r="D22" s="135" t="s">
        <v>676</v>
      </c>
      <c r="E22" s="107" t="s">
        <v>65</v>
      </c>
      <c r="F22" s="108" t="s">
        <v>77</v>
      </c>
      <c r="G22" s="106" t="s">
        <v>67</v>
      </c>
      <c r="H22" s="106" t="s">
        <v>93</v>
      </c>
      <c r="I22" s="109" t="s">
        <v>93</v>
      </c>
      <c r="J22" s="110" t="s">
        <v>3</v>
      </c>
      <c r="K22" s="330" t="s">
        <v>66</v>
      </c>
      <c r="L22" s="118">
        <v>46027</v>
      </c>
      <c r="M22" s="111"/>
      <c r="N22" s="82" t="s">
        <v>648</v>
      </c>
    </row>
    <row r="23" spans="1:16">
      <c r="A23" s="327" t="s">
        <v>609</v>
      </c>
      <c r="B23" s="106" t="s">
        <v>677</v>
      </c>
      <c r="C23" s="106" t="s">
        <v>678</v>
      </c>
      <c r="D23" s="135" t="s">
        <v>679</v>
      </c>
      <c r="E23" s="107" t="s">
        <v>65</v>
      </c>
      <c r="F23" s="108" t="s">
        <v>77</v>
      </c>
      <c r="G23" s="106" t="s">
        <v>363</v>
      </c>
      <c r="H23" s="106" t="s">
        <v>364</v>
      </c>
      <c r="I23" s="109" t="s">
        <v>364</v>
      </c>
      <c r="J23" s="110" t="s">
        <v>3</v>
      </c>
      <c r="K23" s="330" t="s">
        <v>77</v>
      </c>
      <c r="L23" s="118"/>
      <c r="M23" s="111"/>
      <c r="N23" s="82"/>
    </row>
    <row r="24" spans="1:16">
      <c r="A24" s="328" t="s">
        <v>61</v>
      </c>
      <c r="B24" s="106" t="s">
        <v>680</v>
      </c>
      <c r="C24" s="106" t="s">
        <v>681</v>
      </c>
      <c r="D24" s="135" t="s">
        <v>682</v>
      </c>
      <c r="E24" s="107" t="s">
        <v>65</v>
      </c>
      <c r="F24" s="108" t="s">
        <v>66</v>
      </c>
      <c r="G24" s="106" t="s">
        <v>317</v>
      </c>
      <c r="H24" s="106" t="s">
        <v>137</v>
      </c>
      <c r="I24" s="109" t="s">
        <v>143</v>
      </c>
      <c r="J24" s="110" t="s">
        <v>3</v>
      </c>
      <c r="K24" s="331" t="s">
        <v>66</v>
      </c>
      <c r="L24" s="134"/>
      <c r="M24" s="124"/>
      <c r="N24" s="125"/>
      <c r="O24" s="125"/>
      <c r="P24" s="126"/>
    </row>
    <row r="25" spans="1:16">
      <c r="A25" s="328" t="s">
        <v>61</v>
      </c>
      <c r="B25" s="106" t="s">
        <v>683</v>
      </c>
      <c r="C25" s="106" t="s">
        <v>684</v>
      </c>
      <c r="D25" s="135" t="s">
        <v>685</v>
      </c>
      <c r="E25" s="107" t="s">
        <v>65</v>
      </c>
      <c r="F25" s="108" t="s">
        <v>77</v>
      </c>
      <c r="G25" s="106" t="s">
        <v>317</v>
      </c>
      <c r="H25" s="106" t="s">
        <v>336</v>
      </c>
      <c r="I25" s="109" t="s">
        <v>336</v>
      </c>
      <c r="J25" s="110" t="s">
        <v>3</v>
      </c>
      <c r="K25" s="331" t="s">
        <v>77</v>
      </c>
      <c r="L25" s="134">
        <v>46064</v>
      </c>
      <c r="M25" s="124"/>
      <c r="N25" s="125"/>
      <c r="O25" s="125"/>
      <c r="P25" s="127"/>
    </row>
    <row r="26" spans="1:16">
      <c r="A26" s="328" t="s">
        <v>61</v>
      </c>
      <c r="B26" s="106" t="s">
        <v>686</v>
      </c>
      <c r="C26" s="106" t="s">
        <v>687</v>
      </c>
      <c r="D26" s="135" t="s">
        <v>688</v>
      </c>
      <c r="E26" s="107" t="s">
        <v>65</v>
      </c>
      <c r="F26" s="108" t="s">
        <v>66</v>
      </c>
      <c r="G26" s="106" t="s">
        <v>613</v>
      </c>
      <c r="H26" s="106" t="s">
        <v>204</v>
      </c>
      <c r="I26" s="109" t="s">
        <v>204</v>
      </c>
      <c r="J26" s="110" t="s">
        <v>3</v>
      </c>
      <c r="K26" s="331" t="s">
        <v>66</v>
      </c>
      <c r="L26" s="134">
        <v>46064</v>
      </c>
      <c r="M26" s="124"/>
      <c r="N26" s="125"/>
      <c r="O26" s="125"/>
      <c r="P26" s="126"/>
    </row>
    <row r="27" spans="1:16">
      <c r="A27" s="328" t="s">
        <v>61</v>
      </c>
      <c r="B27" s="106" t="s">
        <v>689</v>
      </c>
      <c r="C27" s="106" t="s">
        <v>690</v>
      </c>
      <c r="D27" s="135" t="s">
        <v>691</v>
      </c>
      <c r="E27" s="107" t="s">
        <v>65</v>
      </c>
      <c r="F27" s="108" t="s">
        <v>77</v>
      </c>
      <c r="G27" s="106" t="s">
        <v>414</v>
      </c>
      <c r="H27" s="106" t="s">
        <v>415</v>
      </c>
      <c r="I27" s="109" t="s">
        <v>415</v>
      </c>
      <c r="J27" s="110" t="s">
        <v>3</v>
      </c>
      <c r="K27" s="331" t="s">
        <v>77</v>
      </c>
      <c r="L27" s="134">
        <v>46062</v>
      </c>
      <c r="M27" s="124">
        <v>46062</v>
      </c>
      <c r="N27" s="125"/>
      <c r="O27" s="125"/>
      <c r="P27" s="127"/>
    </row>
    <row r="28" spans="1:16">
      <c r="A28" s="328" t="s">
        <v>61</v>
      </c>
      <c r="B28" s="106" t="s">
        <v>692</v>
      </c>
      <c r="C28" s="106" t="s">
        <v>693</v>
      </c>
      <c r="D28" s="135" t="s">
        <v>694</v>
      </c>
      <c r="E28" s="107" t="s">
        <v>65</v>
      </c>
      <c r="F28" s="108" t="s">
        <v>77</v>
      </c>
      <c r="G28" s="106" t="s">
        <v>640</v>
      </c>
      <c r="H28" s="106" t="s">
        <v>492</v>
      </c>
      <c r="I28" s="109" t="s">
        <v>492</v>
      </c>
      <c r="J28" s="110" t="s">
        <v>3</v>
      </c>
      <c r="K28" s="331" t="s">
        <v>77</v>
      </c>
      <c r="L28" s="134">
        <v>46062</v>
      </c>
      <c r="M28" s="124"/>
      <c r="N28" s="125"/>
      <c r="O28" s="125"/>
      <c r="P28" s="126"/>
    </row>
    <row r="29" spans="1:16">
      <c r="A29" s="328" t="s">
        <v>61</v>
      </c>
      <c r="B29" s="106" t="s">
        <v>642</v>
      </c>
      <c r="C29" s="106" t="s">
        <v>643</v>
      </c>
      <c r="D29" s="135" t="s">
        <v>644</v>
      </c>
      <c r="E29" s="107" t="s">
        <v>65</v>
      </c>
      <c r="F29" s="108" t="s">
        <v>77</v>
      </c>
      <c r="G29" s="106" t="s">
        <v>363</v>
      </c>
      <c r="H29" s="106" t="s">
        <v>364</v>
      </c>
      <c r="I29" s="109" t="s">
        <v>364</v>
      </c>
      <c r="J29" s="110" t="s">
        <v>3</v>
      </c>
      <c r="K29" s="331" t="s">
        <v>77</v>
      </c>
      <c r="L29" s="134"/>
      <c r="M29" s="124"/>
      <c r="N29" s="125"/>
      <c r="O29" s="125"/>
      <c r="P29" s="127"/>
    </row>
    <row r="30" spans="1:16">
      <c r="A30" s="328" t="s">
        <v>61</v>
      </c>
      <c r="B30" s="106" t="s">
        <v>695</v>
      </c>
      <c r="C30" s="106" t="s">
        <v>696</v>
      </c>
      <c r="D30" s="135" t="s">
        <v>697</v>
      </c>
      <c r="E30" s="107" t="s">
        <v>65</v>
      </c>
      <c r="F30" s="108" t="s">
        <v>66</v>
      </c>
      <c r="G30" s="106" t="s">
        <v>363</v>
      </c>
      <c r="H30" s="106" t="s">
        <v>364</v>
      </c>
      <c r="I30" s="109" t="s">
        <v>364</v>
      </c>
      <c r="J30" s="110" t="s">
        <v>3</v>
      </c>
      <c r="K30" s="331" t="s">
        <v>66</v>
      </c>
      <c r="L30" s="134">
        <v>45697</v>
      </c>
      <c r="M30" s="124"/>
      <c r="N30" s="125"/>
      <c r="O30" s="125"/>
      <c r="P30" s="126"/>
    </row>
    <row r="31" spans="1:16">
      <c r="A31" s="328" t="s">
        <v>61</v>
      </c>
      <c r="B31" s="106" t="s">
        <v>698</v>
      </c>
      <c r="C31" s="106" t="s">
        <v>699</v>
      </c>
      <c r="D31" s="135" t="s">
        <v>700</v>
      </c>
      <c r="E31" s="107" t="s">
        <v>65</v>
      </c>
      <c r="F31" s="108" t="s">
        <v>66</v>
      </c>
      <c r="G31" s="106" t="s">
        <v>363</v>
      </c>
      <c r="H31" s="106" t="s">
        <v>364</v>
      </c>
      <c r="I31" s="109" t="s">
        <v>364</v>
      </c>
      <c r="J31" s="110" t="s">
        <v>3</v>
      </c>
      <c r="K31" s="331" t="s">
        <v>66</v>
      </c>
      <c r="L31" s="134">
        <v>45697</v>
      </c>
      <c r="M31" s="124"/>
      <c r="N31" s="125"/>
      <c r="O31" s="125"/>
      <c r="P31" s="127"/>
    </row>
    <row r="32" spans="1:16">
      <c r="A32" s="329" t="s">
        <v>61</v>
      </c>
      <c r="B32" s="106" t="s">
        <v>701</v>
      </c>
      <c r="C32" s="106" t="s">
        <v>702</v>
      </c>
      <c r="D32" s="135" t="s">
        <v>703</v>
      </c>
      <c r="E32" s="107" t="s">
        <v>65</v>
      </c>
      <c r="F32" s="108" t="s">
        <v>66</v>
      </c>
      <c r="G32" s="106" t="s">
        <v>363</v>
      </c>
      <c r="H32" s="106" t="s">
        <v>364</v>
      </c>
      <c r="I32" s="109" t="s">
        <v>364</v>
      </c>
      <c r="J32" s="110" t="s">
        <v>3</v>
      </c>
      <c r="K32" s="332" t="s">
        <v>66</v>
      </c>
      <c r="L32" s="141">
        <v>45697</v>
      </c>
      <c r="M32" s="142"/>
      <c r="N32" s="128"/>
      <c r="O32" s="128"/>
      <c r="P32" s="129"/>
    </row>
    <row r="33" spans="1:22">
      <c r="A33" s="79" t="s">
        <v>61</v>
      </c>
      <c r="B33" s="106" t="s">
        <v>704</v>
      </c>
      <c r="C33" s="106" t="s">
        <v>705</v>
      </c>
      <c r="D33" s="135" t="s">
        <v>706</v>
      </c>
      <c r="E33" s="107" t="s">
        <v>65</v>
      </c>
      <c r="F33" s="108" t="s">
        <v>66</v>
      </c>
      <c r="G33" s="106" t="s">
        <v>117</v>
      </c>
      <c r="H33" s="106" t="s">
        <v>137</v>
      </c>
      <c r="I33" s="109" t="s">
        <v>137</v>
      </c>
      <c r="J33" s="109" t="s">
        <v>3</v>
      </c>
      <c r="K33" s="332" t="s">
        <v>66</v>
      </c>
      <c r="L33" s="140"/>
      <c r="M33" s="117" t="s">
        <v>66</v>
      </c>
      <c r="N33" s="87">
        <v>46069</v>
      </c>
      <c r="O33" s="86" t="s">
        <v>707</v>
      </c>
      <c r="P33" s="82"/>
      <c r="Q33" s="82"/>
      <c r="R33" s="82"/>
      <c r="S33" s="82" t="s">
        <v>119</v>
      </c>
      <c r="T33" s="82" t="s">
        <v>133</v>
      </c>
      <c r="U33" s="82" t="s">
        <v>72</v>
      </c>
      <c r="V33" s="82" t="s">
        <v>80</v>
      </c>
    </row>
    <row r="34" spans="1:22">
      <c r="A34" s="79" t="s">
        <v>61</v>
      </c>
      <c r="B34" s="106" t="s">
        <v>708</v>
      </c>
      <c r="C34" s="106" t="s">
        <v>709</v>
      </c>
      <c r="D34" s="135" t="s">
        <v>710</v>
      </c>
      <c r="E34" s="107" t="s">
        <v>65</v>
      </c>
      <c r="F34" s="108" t="s">
        <v>77</v>
      </c>
      <c r="G34" s="106" t="s">
        <v>266</v>
      </c>
      <c r="H34" s="106" t="s">
        <v>267</v>
      </c>
      <c r="I34" s="109" t="s">
        <v>267</v>
      </c>
      <c r="J34" s="109" t="s">
        <v>3</v>
      </c>
      <c r="K34" s="331" t="s">
        <v>77</v>
      </c>
      <c r="L34" s="140" t="s">
        <v>193</v>
      </c>
      <c r="M34" s="117" t="s">
        <v>77</v>
      </c>
      <c r="N34" s="87">
        <v>46065</v>
      </c>
      <c r="O34" s="86" t="s">
        <v>707</v>
      </c>
      <c r="P34" s="82" t="s">
        <v>711</v>
      </c>
      <c r="Q34" s="82"/>
      <c r="R34" s="82"/>
      <c r="S34" s="82" t="s">
        <v>119</v>
      </c>
      <c r="T34" s="82" t="s">
        <v>269</v>
      </c>
      <c r="U34" s="82" t="s">
        <v>84</v>
      </c>
      <c r="V34" s="82" t="s">
        <v>73</v>
      </c>
    </row>
    <row r="35" spans="1:22">
      <c r="A35" s="167" t="s">
        <v>61</v>
      </c>
      <c r="B35" s="269" t="s">
        <v>712</v>
      </c>
      <c r="C35" s="106" t="s">
        <v>207</v>
      </c>
      <c r="D35" s="322" t="s">
        <v>713</v>
      </c>
      <c r="E35" s="107" t="s">
        <v>65</v>
      </c>
      <c r="F35" s="108" t="s">
        <v>77</v>
      </c>
      <c r="G35" s="106" t="s">
        <v>317</v>
      </c>
      <c r="H35" s="201" t="s">
        <v>143</v>
      </c>
      <c r="I35" s="180" t="s">
        <v>143</v>
      </c>
      <c r="J35" s="109" t="s">
        <v>3</v>
      </c>
      <c r="K35" s="331" t="s">
        <v>77</v>
      </c>
      <c r="L35" s="172"/>
      <c r="M35" s="173" t="s">
        <v>77</v>
      </c>
      <c r="N35" s="174">
        <v>46079</v>
      </c>
      <c r="O35" s="175"/>
      <c r="P35" s="176"/>
      <c r="Q35" s="176"/>
      <c r="R35" s="176"/>
      <c r="S35" s="176" t="s">
        <v>119</v>
      </c>
      <c r="T35" s="177" t="s">
        <v>124</v>
      </c>
    </row>
    <row r="36" spans="1:22">
      <c r="A36" s="167" t="s">
        <v>61</v>
      </c>
      <c r="B36" s="106" t="s">
        <v>714</v>
      </c>
      <c r="C36" s="106" t="s">
        <v>223</v>
      </c>
      <c r="D36" s="135" t="s">
        <v>715</v>
      </c>
      <c r="E36" s="107" t="s">
        <v>65</v>
      </c>
      <c r="F36" s="108" t="s">
        <v>77</v>
      </c>
      <c r="G36" s="106" t="s">
        <v>117</v>
      </c>
      <c r="H36" s="106" t="s">
        <v>137</v>
      </c>
      <c r="I36" s="109" t="s">
        <v>137</v>
      </c>
      <c r="J36" s="323" t="s">
        <v>3</v>
      </c>
      <c r="K36" s="332" t="s">
        <v>66</v>
      </c>
      <c r="L36" s="172"/>
      <c r="M36" s="173" t="s">
        <v>77</v>
      </c>
      <c r="N36" s="174">
        <v>46080</v>
      </c>
      <c r="O36" s="175"/>
      <c r="P36" s="176"/>
      <c r="Q36" s="176"/>
      <c r="R36" s="176"/>
      <c r="S36" s="176" t="s">
        <v>119</v>
      </c>
      <c r="T36" s="177" t="s">
        <v>124</v>
      </c>
    </row>
    <row r="37" spans="1:22">
      <c r="A37" s="167" t="s">
        <v>61</v>
      </c>
      <c r="B37" s="106" t="s">
        <v>716</v>
      </c>
      <c r="C37" s="106" t="s">
        <v>717</v>
      </c>
      <c r="D37" s="135" t="s">
        <v>718</v>
      </c>
      <c r="E37" s="107" t="s">
        <v>65</v>
      </c>
      <c r="F37" s="108" t="s">
        <v>66</v>
      </c>
      <c r="G37" s="106" t="s">
        <v>363</v>
      </c>
      <c r="H37" s="106" t="s">
        <v>364</v>
      </c>
      <c r="I37" s="109" t="s">
        <v>364</v>
      </c>
      <c r="J37" s="109" t="s">
        <v>3</v>
      </c>
      <c r="K37" s="332" t="s">
        <v>66</v>
      </c>
      <c r="L37" s="191"/>
      <c r="M37" s="173" t="s">
        <v>66</v>
      </c>
      <c r="N37" s="174"/>
      <c r="O37" s="264"/>
      <c r="P37" s="265"/>
      <c r="Q37" s="266"/>
      <c r="R37" s="266"/>
      <c r="S37" s="266" t="s">
        <v>70</v>
      </c>
      <c r="T37" s="267" t="s">
        <v>71</v>
      </c>
    </row>
    <row r="38" spans="1:22">
      <c r="A38" s="327" t="s">
        <v>61</v>
      </c>
      <c r="B38" s="106" t="s">
        <v>719</v>
      </c>
      <c r="C38" s="106" t="s">
        <v>720</v>
      </c>
      <c r="D38" s="282" t="s">
        <v>721</v>
      </c>
      <c r="E38" s="107" t="s">
        <v>65</v>
      </c>
      <c r="F38" s="108" t="s">
        <v>66</v>
      </c>
      <c r="G38" s="106" t="s">
        <v>317</v>
      </c>
      <c r="H38" s="106" t="s">
        <v>336</v>
      </c>
      <c r="I38" s="109" t="s">
        <v>336</v>
      </c>
      <c r="J38" s="109" t="s">
        <v>3</v>
      </c>
      <c r="K38" s="333"/>
      <c r="L38" s="140"/>
      <c r="M38" s="117" t="s">
        <v>66</v>
      </c>
      <c r="N38" s="118">
        <v>46113</v>
      </c>
      <c r="O38" s="86"/>
      <c r="P38" s="148"/>
      <c r="Q38" s="82"/>
      <c r="R38" s="82"/>
      <c r="S38" s="82" t="s">
        <v>119</v>
      </c>
      <c r="T38" s="82" t="s">
        <v>124</v>
      </c>
      <c r="U38" s="82" t="s">
        <v>72</v>
      </c>
      <c r="V38" s="82" t="s">
        <v>80</v>
      </c>
    </row>
    <row r="39" spans="1:22">
      <c r="A39" s="260" t="s">
        <v>61</v>
      </c>
      <c r="B39" s="106" t="s">
        <v>722</v>
      </c>
      <c r="C39" s="106" t="s">
        <v>722</v>
      </c>
      <c r="D39" s="282" t="s">
        <v>723</v>
      </c>
      <c r="E39" s="107" t="s">
        <v>65</v>
      </c>
      <c r="F39" s="108" t="s">
        <v>77</v>
      </c>
      <c r="G39" s="106" t="s">
        <v>317</v>
      </c>
      <c r="H39" s="106" t="s">
        <v>143</v>
      </c>
      <c r="I39" s="109" t="s">
        <v>143</v>
      </c>
      <c r="J39" s="109" t="s">
        <v>3</v>
      </c>
      <c r="K39" s="334"/>
      <c r="L39" s="261"/>
      <c r="M39" s="262" t="s">
        <v>77</v>
      </c>
      <c r="N39" s="263">
        <v>46113</v>
      </c>
      <c r="O39" s="264"/>
      <c r="P39" s="265"/>
      <c r="Q39" s="266"/>
      <c r="R39" s="266"/>
      <c r="S39" s="266" t="s">
        <v>119</v>
      </c>
      <c r="T39" s="267" t="s">
        <v>124</v>
      </c>
    </row>
    <row r="40" spans="1:22">
      <c r="A40" s="260" t="s">
        <v>61</v>
      </c>
      <c r="B40" s="269" t="s">
        <v>724</v>
      </c>
      <c r="C40" s="269" t="s">
        <v>725</v>
      </c>
      <c r="D40" s="321" t="s">
        <v>726</v>
      </c>
      <c r="E40" s="107" t="s">
        <v>65</v>
      </c>
      <c r="F40" s="324" t="s">
        <v>77</v>
      </c>
      <c r="G40" s="106" t="s">
        <v>640</v>
      </c>
      <c r="H40" s="106" t="s">
        <v>488</v>
      </c>
      <c r="I40" s="180" t="s">
        <v>488</v>
      </c>
      <c r="J40" s="109" t="s">
        <v>3</v>
      </c>
      <c r="K40" s="334"/>
      <c r="L40" s="261"/>
      <c r="M40" s="262" t="s">
        <v>77</v>
      </c>
      <c r="N40" s="263">
        <v>46113</v>
      </c>
      <c r="O40" s="264"/>
      <c r="P40" s="265"/>
      <c r="Q40" s="266"/>
      <c r="R40" s="266"/>
      <c r="S40" s="266" t="s">
        <v>119</v>
      </c>
      <c r="T40" s="267" t="s">
        <v>205</v>
      </c>
    </row>
    <row r="41" spans="1:22">
      <c r="A41" s="79" t="s">
        <v>61</v>
      </c>
      <c r="B41" s="269" t="s">
        <v>727</v>
      </c>
      <c r="C41" s="106" t="s">
        <v>728</v>
      </c>
      <c r="D41" s="321" t="s">
        <v>729</v>
      </c>
      <c r="E41" s="107" t="s">
        <v>65</v>
      </c>
      <c r="F41" s="108" t="s">
        <v>66</v>
      </c>
      <c r="G41" s="106" t="s">
        <v>266</v>
      </c>
      <c r="H41" s="201" t="s">
        <v>267</v>
      </c>
      <c r="I41" s="180" t="s">
        <v>267</v>
      </c>
      <c r="J41" s="109" t="s">
        <v>3</v>
      </c>
      <c r="K41" s="131"/>
      <c r="L41" s="131"/>
      <c r="M41" s="84" t="s">
        <v>66</v>
      </c>
      <c r="N41" s="87"/>
      <c r="O41" s="86"/>
      <c r="P41" s="148"/>
      <c r="Q41" s="319" t="s">
        <v>77</v>
      </c>
      <c r="R41" s="82"/>
      <c r="S41" s="82" t="s">
        <v>119</v>
      </c>
      <c r="T41" s="82" t="s">
        <v>180</v>
      </c>
      <c r="U41" s="82" t="s">
        <v>72</v>
      </c>
      <c r="V41" s="82" t="s">
        <v>80</v>
      </c>
    </row>
    <row r="42" spans="1:22">
      <c r="A42" s="260" t="s">
        <v>61</v>
      </c>
      <c r="B42" s="106" t="s">
        <v>730</v>
      </c>
      <c r="C42" s="106" t="s">
        <v>731</v>
      </c>
      <c r="D42" s="321" t="s">
        <v>732</v>
      </c>
      <c r="E42" s="107" t="s">
        <v>65</v>
      </c>
      <c r="F42" s="108" t="s">
        <v>77</v>
      </c>
      <c r="G42" s="106" t="s">
        <v>487</v>
      </c>
      <c r="H42" s="106" t="s">
        <v>492</v>
      </c>
      <c r="I42" s="180" t="s">
        <v>492</v>
      </c>
      <c r="J42" s="109" t="s">
        <v>3</v>
      </c>
      <c r="K42" s="334"/>
      <c r="L42" s="261"/>
      <c r="M42" s="262" t="s">
        <v>77</v>
      </c>
      <c r="N42" s="263">
        <v>46090</v>
      </c>
      <c r="O42" s="264"/>
      <c r="P42" s="265"/>
      <c r="Q42" s="320" t="s">
        <v>69</v>
      </c>
      <c r="R42" s="266"/>
      <c r="S42" s="266" t="s">
        <v>119</v>
      </c>
      <c r="T42" s="267" t="s">
        <v>205</v>
      </c>
    </row>
    <row r="43" spans="1:22">
      <c r="A43" s="167" t="s">
        <v>61</v>
      </c>
      <c r="B43" s="106" t="s">
        <v>733</v>
      </c>
      <c r="C43" s="106" t="s">
        <v>734</v>
      </c>
      <c r="D43" s="282" t="s">
        <v>735</v>
      </c>
      <c r="E43" s="107" t="s">
        <v>65</v>
      </c>
      <c r="F43" s="108" t="s">
        <v>77</v>
      </c>
      <c r="G43" s="106" t="s">
        <v>67</v>
      </c>
      <c r="H43" s="106" t="s">
        <v>78</v>
      </c>
      <c r="I43" s="109" t="s">
        <v>78</v>
      </c>
      <c r="J43" s="109" t="s">
        <v>3</v>
      </c>
      <c r="K43" s="334"/>
      <c r="L43" s="261"/>
    </row>
    <row r="44" spans="1:22">
      <c r="A44" s="167" t="s">
        <v>61</v>
      </c>
      <c r="B44" s="269" t="s">
        <v>736</v>
      </c>
      <c r="C44" s="106" t="s">
        <v>737</v>
      </c>
      <c r="D44" s="321" t="s">
        <v>738</v>
      </c>
      <c r="E44" s="107" t="s">
        <v>65</v>
      </c>
      <c r="F44" s="108" t="s">
        <v>66</v>
      </c>
      <c r="G44" s="106" t="s">
        <v>117</v>
      </c>
      <c r="H44" s="325" t="s">
        <v>118</v>
      </c>
      <c r="I44" s="326" t="s">
        <v>118</v>
      </c>
      <c r="J44" s="109" t="s">
        <v>3</v>
      </c>
      <c r="K44" s="334"/>
      <c r="L44" s="261"/>
    </row>
    <row r="45" spans="1:22">
      <c r="A45" s="167" t="s">
        <v>61</v>
      </c>
      <c r="B45" s="338" t="s">
        <v>739</v>
      </c>
      <c r="C45" s="338" t="s">
        <v>740</v>
      </c>
      <c r="D45" s="339" t="s">
        <v>741</v>
      </c>
      <c r="E45" s="340" t="s">
        <v>65</v>
      </c>
      <c r="F45" s="341" t="s">
        <v>66</v>
      </c>
      <c r="G45" s="338" t="s">
        <v>363</v>
      </c>
      <c r="H45" s="338" t="s">
        <v>364</v>
      </c>
      <c r="I45" s="342" t="s">
        <v>364</v>
      </c>
      <c r="J45" s="342" t="s">
        <v>3</v>
      </c>
      <c r="K45" s="343"/>
      <c r="L45" s="191"/>
    </row>
    <row r="46" spans="1:22">
      <c r="A46" s="106" t="s">
        <v>61</v>
      </c>
      <c r="B46" s="106" t="s">
        <v>742</v>
      </c>
      <c r="C46" s="106" t="s">
        <v>743</v>
      </c>
      <c r="D46" s="282" t="s">
        <v>744</v>
      </c>
      <c r="E46" s="107" t="s">
        <v>65</v>
      </c>
      <c r="F46" s="108" t="s">
        <v>66</v>
      </c>
      <c r="G46" s="106" t="s">
        <v>317</v>
      </c>
      <c r="H46" s="106" t="s">
        <v>336</v>
      </c>
      <c r="I46" s="109" t="s">
        <v>336</v>
      </c>
      <c r="J46" s="109" t="s">
        <v>3</v>
      </c>
      <c r="K46" s="72">
        <v>46125</v>
      </c>
      <c r="L46" s="337"/>
      <c r="M46" s="337"/>
    </row>
    <row r="47" spans="1:22">
      <c r="A47" s="106" t="s">
        <v>61</v>
      </c>
      <c r="B47" s="106" t="s">
        <v>745</v>
      </c>
      <c r="C47" s="106" t="s">
        <v>746</v>
      </c>
      <c r="D47" s="282" t="s">
        <v>747</v>
      </c>
      <c r="E47" s="107" t="s">
        <v>65</v>
      </c>
      <c r="F47" s="108" t="s">
        <v>66</v>
      </c>
      <c r="G47" s="106" t="s">
        <v>203</v>
      </c>
      <c r="H47" s="106" t="s">
        <v>204</v>
      </c>
      <c r="I47" s="109" t="s">
        <v>204</v>
      </c>
      <c r="J47" s="109" t="s">
        <v>3</v>
      </c>
      <c r="K47" s="72">
        <v>46126</v>
      </c>
      <c r="L47" s="140"/>
      <c r="M47" s="117" t="s">
        <v>66</v>
      </c>
      <c r="N47" s="87"/>
      <c r="O47" s="86"/>
      <c r="P47" s="148" t="s">
        <v>220</v>
      </c>
      <c r="Q47" s="319" t="s">
        <v>252</v>
      </c>
      <c r="R47" s="82"/>
      <c r="S47" s="82" t="s">
        <v>70</v>
      </c>
      <c r="T47" s="82" t="s">
        <v>209</v>
      </c>
      <c r="U47" s="82" t="e">
        <v>#N/A</v>
      </c>
      <c r="V47" s="82" t="e">
        <v>#N/A</v>
      </c>
    </row>
    <row r="48" spans="1:22">
      <c r="A48" s="106" t="s">
        <v>61</v>
      </c>
      <c r="B48" s="106" t="s">
        <v>748</v>
      </c>
      <c r="C48" s="106" t="s">
        <v>749</v>
      </c>
      <c r="D48" s="282" t="s">
        <v>750</v>
      </c>
      <c r="E48" s="107" t="s">
        <v>65</v>
      </c>
      <c r="F48" s="108" t="s">
        <v>66</v>
      </c>
      <c r="G48" s="106" t="s">
        <v>203</v>
      </c>
      <c r="H48" s="106" t="s">
        <v>204</v>
      </c>
      <c r="I48" s="109" t="s">
        <v>204</v>
      </c>
      <c r="J48" s="109" t="s">
        <v>3</v>
      </c>
      <c r="K48" s="72">
        <v>46126</v>
      </c>
      <c r="L48" s="140"/>
      <c r="M48" s="117" t="s">
        <v>66</v>
      </c>
      <c r="N48" s="87"/>
      <c r="O48" s="86"/>
      <c r="P48" s="148"/>
      <c r="Q48" s="319" t="s">
        <v>89</v>
      </c>
      <c r="R48" s="82"/>
      <c r="S48" s="82" t="s">
        <v>70</v>
      </c>
      <c r="T48" s="82" t="s">
        <v>209</v>
      </c>
      <c r="U48" s="82" t="s">
        <v>72</v>
      </c>
      <c r="V48" s="82" t="s">
        <v>80</v>
      </c>
    </row>
  </sheetData>
  <autoFilter ref="A1:P36" xr:uid="{D2B9220E-0AD4-48DC-AE9E-027B8C90F225}"/>
  <conditionalFormatting sqref="B1">
    <cfRule type="duplicateValues" dxfId="148" priority="129"/>
  </conditionalFormatting>
  <conditionalFormatting sqref="B2:B23">
    <cfRule type="duplicateValues" dxfId="147" priority="134"/>
  </conditionalFormatting>
  <conditionalFormatting sqref="B24:B32">
    <cfRule type="duplicateValues" dxfId="146" priority="125"/>
  </conditionalFormatting>
  <conditionalFormatting sqref="B33">
    <cfRule type="duplicateValues" dxfId="145" priority="120"/>
  </conditionalFormatting>
  <conditionalFormatting sqref="B34">
    <cfRule type="duplicateValues" dxfId="144" priority="106"/>
  </conditionalFormatting>
  <conditionalFormatting sqref="B35">
    <cfRule type="duplicateValues" dxfId="143" priority="99"/>
  </conditionalFormatting>
  <conditionalFormatting sqref="B36">
    <cfRule type="duplicateValues" dxfId="142" priority="92"/>
  </conditionalFormatting>
  <conditionalFormatting sqref="B37">
    <cfRule type="duplicateValues" dxfId="141" priority="84"/>
  </conditionalFormatting>
  <conditionalFormatting sqref="B38">
    <cfRule type="duplicateValues" dxfId="140" priority="75"/>
  </conditionalFormatting>
  <conditionalFormatting sqref="B39">
    <cfRule type="duplicateValues" dxfId="139" priority="66"/>
  </conditionalFormatting>
  <conditionalFormatting sqref="B41">
    <cfRule type="duplicateValues" dxfId="138" priority="49"/>
  </conditionalFormatting>
  <conditionalFormatting sqref="B43:B45">
    <cfRule type="duplicateValues" dxfId="137" priority="32"/>
  </conditionalFormatting>
  <conditionalFormatting sqref="B46">
    <cfRule type="duplicateValues" dxfId="136" priority="24"/>
  </conditionalFormatting>
  <conditionalFormatting sqref="B47">
    <cfRule type="duplicateValues" dxfId="135" priority="16"/>
  </conditionalFormatting>
  <conditionalFormatting sqref="B48">
    <cfRule type="duplicateValues" dxfId="134" priority="7"/>
  </conditionalFormatting>
  <conditionalFormatting sqref="C11">
    <cfRule type="duplicateValues" dxfId="133" priority="131"/>
  </conditionalFormatting>
  <conditionalFormatting sqref="C37">
    <cfRule type="duplicateValues" dxfId="132" priority="85"/>
  </conditionalFormatting>
  <conditionalFormatting sqref="C38">
    <cfRule type="duplicateValues" dxfId="131" priority="76"/>
  </conditionalFormatting>
  <conditionalFormatting sqref="C39">
    <cfRule type="duplicateValues" dxfId="130" priority="67"/>
  </conditionalFormatting>
  <conditionalFormatting sqref="C40">
    <cfRule type="duplicateValues" dxfId="129" priority="58"/>
  </conditionalFormatting>
  <conditionalFormatting sqref="C41">
    <cfRule type="duplicateValues" dxfId="128" priority="50"/>
  </conditionalFormatting>
  <conditionalFormatting sqref="C42">
    <cfRule type="duplicateValues" dxfId="127" priority="41"/>
  </conditionalFormatting>
  <conditionalFormatting sqref="C43:C45">
    <cfRule type="duplicateValues" dxfId="126" priority="33"/>
  </conditionalFormatting>
  <conditionalFormatting sqref="C46">
    <cfRule type="duplicateValues" dxfId="125" priority="25"/>
  </conditionalFormatting>
  <conditionalFormatting sqref="C47">
    <cfRule type="duplicateValues" dxfId="124" priority="17"/>
  </conditionalFormatting>
  <conditionalFormatting sqref="C48">
    <cfRule type="duplicateValues" dxfId="123" priority="8"/>
  </conditionalFormatting>
  <conditionalFormatting sqref="D1">
    <cfRule type="duplicateValues" dxfId="122" priority="128"/>
    <cfRule type="duplicateValues" dxfId="121" priority="127"/>
    <cfRule type="duplicateValues" dxfId="120" priority="130"/>
  </conditionalFormatting>
  <conditionalFormatting sqref="D2:D23">
    <cfRule type="duplicateValues" dxfId="119" priority="135"/>
    <cfRule type="duplicateValues" dxfId="118" priority="132"/>
    <cfRule type="duplicateValues" dxfId="117" priority="133"/>
  </conditionalFormatting>
  <conditionalFormatting sqref="D24:D32">
    <cfRule type="duplicateValues" dxfId="116" priority="123"/>
    <cfRule type="duplicateValues" dxfId="115" priority="124"/>
    <cfRule type="duplicateValues" dxfId="114" priority="126"/>
  </conditionalFormatting>
  <conditionalFormatting sqref="D33">
    <cfRule type="duplicateValues" dxfId="113" priority="121"/>
    <cfRule type="duplicateValues" dxfId="112" priority="115"/>
    <cfRule type="duplicateValues" dxfId="111" priority="118"/>
    <cfRule type="duplicateValues" dxfId="110" priority="119"/>
  </conditionalFormatting>
  <conditionalFormatting sqref="D34">
    <cfRule type="duplicateValues" dxfId="109" priority="101"/>
    <cfRule type="duplicateValues" dxfId="108" priority="105"/>
    <cfRule type="duplicateValues" dxfId="107" priority="107"/>
    <cfRule type="duplicateValues" dxfId="106" priority="104"/>
  </conditionalFormatting>
  <conditionalFormatting sqref="D35">
    <cfRule type="duplicateValues" dxfId="105" priority="100"/>
    <cfRule type="duplicateValues" dxfId="104" priority="98"/>
    <cfRule type="duplicateValues" dxfId="103" priority="94"/>
    <cfRule type="duplicateValues" dxfId="102" priority="97"/>
  </conditionalFormatting>
  <conditionalFormatting sqref="D36">
    <cfRule type="duplicateValues" dxfId="101" priority="93"/>
    <cfRule type="duplicateValues" dxfId="100" priority="87"/>
    <cfRule type="duplicateValues" dxfId="99" priority="90"/>
    <cfRule type="duplicateValues" dxfId="98" priority="91"/>
  </conditionalFormatting>
  <conditionalFormatting sqref="D37">
    <cfRule type="duplicateValues" dxfId="97" priority="78"/>
    <cfRule type="duplicateValues" dxfId="96" priority="86"/>
    <cfRule type="duplicateValues" dxfId="95" priority="79"/>
    <cfRule type="duplicateValues" dxfId="94" priority="83"/>
    <cfRule type="duplicateValues" dxfId="93" priority="82"/>
  </conditionalFormatting>
  <conditionalFormatting sqref="D38">
    <cfRule type="duplicateValues" dxfId="92" priority="69"/>
    <cfRule type="duplicateValues" dxfId="91" priority="77"/>
    <cfRule type="duplicateValues" dxfId="90" priority="74"/>
    <cfRule type="duplicateValues" dxfId="89" priority="73"/>
    <cfRule type="duplicateValues" dxfId="88" priority="70"/>
  </conditionalFormatting>
  <conditionalFormatting sqref="D39">
    <cfRule type="duplicateValues" dxfId="87" priority="60"/>
    <cfRule type="duplicateValues" dxfId="86" priority="61"/>
    <cfRule type="duplicateValues" dxfId="85" priority="64"/>
    <cfRule type="duplicateValues" dxfId="84" priority="65"/>
    <cfRule type="duplicateValues" dxfId="83" priority="68"/>
  </conditionalFormatting>
  <conditionalFormatting sqref="D40">
    <cfRule type="duplicateValues" dxfId="82" priority="57"/>
    <cfRule type="duplicateValues" dxfId="81" priority="52"/>
    <cfRule type="duplicateValues" dxfId="80" priority="53"/>
    <cfRule type="duplicateValues" dxfId="79" priority="56"/>
    <cfRule type="duplicateValues" dxfId="78" priority="59"/>
  </conditionalFormatting>
  <conditionalFormatting sqref="D41">
    <cfRule type="duplicateValues" dxfId="77" priority="47"/>
    <cfRule type="duplicateValues" dxfId="76" priority="43"/>
    <cfRule type="duplicateValues" dxfId="75" priority="44"/>
    <cfRule type="duplicateValues" dxfId="74" priority="48"/>
    <cfRule type="duplicateValues" dxfId="73" priority="51"/>
  </conditionalFormatting>
  <conditionalFormatting sqref="D42">
    <cfRule type="duplicateValues" dxfId="72" priority="36"/>
    <cfRule type="duplicateValues" dxfId="71" priority="40"/>
    <cfRule type="duplicateValues" dxfId="70" priority="39"/>
    <cfRule type="duplicateValues" dxfId="69" priority="35"/>
    <cfRule type="duplicateValues" dxfId="68" priority="42"/>
  </conditionalFormatting>
  <conditionalFormatting sqref="D43:D45">
    <cfRule type="duplicateValues" dxfId="67" priority="34"/>
    <cfRule type="duplicateValues" dxfId="66" priority="30"/>
    <cfRule type="duplicateValues" dxfId="65" priority="31"/>
    <cfRule type="duplicateValues" dxfId="64" priority="27"/>
    <cfRule type="duplicateValues" dxfId="63" priority="28"/>
  </conditionalFormatting>
  <conditionalFormatting sqref="D46">
    <cfRule type="duplicateValues" dxfId="62" priority="19"/>
    <cfRule type="duplicateValues" dxfId="61" priority="20"/>
    <cfRule type="duplicateValues" dxfId="60" priority="22"/>
    <cfRule type="duplicateValues" dxfId="59" priority="23"/>
    <cfRule type="duplicateValues" dxfId="58" priority="26"/>
  </conditionalFormatting>
  <conditionalFormatting sqref="D47">
    <cfRule type="duplicateValues" dxfId="57" priority="11"/>
    <cfRule type="duplicateValues" dxfId="56" priority="10"/>
    <cfRule type="duplicateValues" dxfId="55" priority="15"/>
    <cfRule type="duplicateValues" dxfId="54" priority="18"/>
    <cfRule type="duplicateValues" dxfId="53" priority="14"/>
  </conditionalFormatting>
  <conditionalFormatting sqref="D48">
    <cfRule type="duplicateValues" dxfId="52" priority="1"/>
    <cfRule type="duplicateValues" dxfId="51" priority="9"/>
    <cfRule type="duplicateValues" dxfId="50" priority="6"/>
    <cfRule type="duplicateValues" dxfId="49" priority="5"/>
    <cfRule type="duplicateValues" dxfId="48" priority="2"/>
  </conditionalFormatting>
  <conditionalFormatting sqref="J24:J37 L33:L37">
    <cfRule type="cellIs" dxfId="47" priority="81" operator="equal">
      <formula>"Desligado"</formula>
    </cfRule>
  </conditionalFormatting>
  <conditionalFormatting sqref="J43:J48 L47:L48">
    <cfRule type="cellIs" dxfId="46" priority="4" operator="equal">
      <formula>"Desligado"</formula>
    </cfRule>
  </conditionalFormatting>
  <conditionalFormatting sqref="J38:L42 K43:L45">
    <cfRule type="cellIs" dxfId="45" priority="38" operator="equal">
      <formula>"Desligado"</formula>
    </cfRule>
  </conditionalFormatting>
  <conditionalFormatting sqref="L33:L45">
    <cfRule type="cellIs" dxfId="44" priority="37" operator="equal">
      <formula>"Baixa"</formula>
    </cfRule>
  </conditionalFormatting>
  <conditionalFormatting sqref="L47:L48">
    <cfRule type="cellIs" dxfId="43" priority="3" operator="equal">
      <formula>"Baixa"</formula>
    </cfRule>
  </conditionalFormatting>
  <dataValidations count="1">
    <dataValidation type="list" allowBlank="1" showInputMessage="1" showErrorMessage="1" sqref="L33:L45 L47:L48" xr:uid="{E5E381EF-5085-410B-A7DC-E6FE89BEA9E9}">
      <formula1>"Baixa"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1DA656A-8D8A-4C3C-AF11-758AB9980F1A}">
          <x14:formula1>
            <xm:f>'Lista Pendencia'!$A$1:$A$15</xm:f>
          </x14:formula1>
          <xm:sqref>J2:J23</xm:sqref>
        </x14:dataValidation>
        <x14:dataValidation type="list" allowBlank="1" showInputMessage="1" showErrorMessage="1" xr:uid="{AABBE07D-C689-4CE5-8D1C-D94504226863}">
          <x14:formula1>
            <xm:f>'Lista Pendencia'!$A$1:$A$16</xm:f>
          </x14:formula1>
          <xm:sqref>J24:J36</xm:sqref>
        </x14:dataValidation>
        <x14:dataValidation type="list" allowBlank="1" showInputMessage="1" showErrorMessage="1" xr:uid="{BFE7E5B8-C439-4D2A-B398-E3745A4B5D50}">
          <x14:formula1>
            <xm:f>'Lista Pendencia'!$A$1:$A$21</xm:f>
          </x14:formula1>
          <xm:sqref>J37 J38:K45 J46:J48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515B-A1C0-4BAA-A20B-50BCAC850E37}">
  <dimension ref="A1:F28"/>
  <sheetViews>
    <sheetView showGridLines="0" zoomScale="80" zoomScaleNormal="80" workbookViewId="0">
      <selection activeCell="H26" sqref="H26"/>
    </sheetView>
  </sheetViews>
  <sheetFormatPr defaultRowHeight="15"/>
  <cols>
    <col min="1" max="1" width="18.42578125" customWidth="1"/>
    <col min="2" max="4" width="15.7109375" style="1" customWidth="1"/>
    <col min="5" max="5" width="12" style="1" customWidth="1"/>
    <col min="6" max="6" width="10.7109375" style="1" bestFit="1" customWidth="1"/>
  </cols>
  <sheetData>
    <row r="1" spans="1:6">
      <c r="B1"/>
    </row>
    <row r="2" spans="1:6">
      <c r="B2"/>
    </row>
    <row r="3" spans="1:6">
      <c r="B3"/>
    </row>
    <row r="4" spans="1:6">
      <c r="B4"/>
    </row>
    <row r="6" spans="1:6">
      <c r="A6" s="136" t="s">
        <v>707</v>
      </c>
      <c r="B6" s="138" t="s">
        <v>751</v>
      </c>
      <c r="F6"/>
    </row>
    <row r="7" spans="1:6">
      <c r="A7" s="136" t="s">
        <v>752</v>
      </c>
      <c r="B7" s="1" t="s">
        <v>77</v>
      </c>
      <c r="C7" s="1" t="s">
        <v>88</v>
      </c>
      <c r="D7" s="1" t="s">
        <v>66</v>
      </c>
      <c r="E7" s="1" t="s">
        <v>753</v>
      </c>
      <c r="F7"/>
    </row>
    <row r="8" spans="1:6">
      <c r="A8" s="137" t="s">
        <v>143</v>
      </c>
      <c r="B8" s="1">
        <v>2</v>
      </c>
      <c r="D8" s="1">
        <v>1</v>
      </c>
      <c r="E8" s="1">
        <v>3</v>
      </c>
      <c r="F8"/>
    </row>
    <row r="9" spans="1:6">
      <c r="A9" s="137" t="s">
        <v>118</v>
      </c>
      <c r="B9" s="1">
        <v>2</v>
      </c>
      <c r="E9" s="1">
        <v>2</v>
      </c>
      <c r="F9"/>
    </row>
    <row r="10" spans="1:6">
      <c r="A10" s="137" t="s">
        <v>137</v>
      </c>
      <c r="B10" s="1">
        <v>2</v>
      </c>
      <c r="D10" s="1">
        <v>3</v>
      </c>
      <c r="E10" s="1">
        <v>5</v>
      </c>
      <c r="F10"/>
    </row>
    <row r="11" spans="1:6">
      <c r="A11" s="137" t="s">
        <v>336</v>
      </c>
      <c r="D11" s="1">
        <v>5</v>
      </c>
      <c r="E11" s="1">
        <v>5</v>
      </c>
      <c r="F11"/>
    </row>
    <row r="12" spans="1:6">
      <c r="A12" s="137" t="s">
        <v>204</v>
      </c>
      <c r="B12" s="1">
        <v>3</v>
      </c>
      <c r="D12" s="1">
        <v>10</v>
      </c>
      <c r="E12" s="1">
        <v>13</v>
      </c>
      <c r="F12"/>
    </row>
    <row r="13" spans="1:6">
      <c r="A13" s="137" t="s">
        <v>415</v>
      </c>
      <c r="B13" s="1">
        <v>10</v>
      </c>
      <c r="C13" s="1">
        <v>2</v>
      </c>
      <c r="D13" s="1">
        <v>5</v>
      </c>
      <c r="E13" s="1">
        <v>17</v>
      </c>
      <c r="F13"/>
    </row>
    <row r="14" spans="1:6">
      <c r="A14" s="137" t="s">
        <v>273</v>
      </c>
      <c r="B14" s="1">
        <v>1</v>
      </c>
      <c r="D14" s="1">
        <v>3</v>
      </c>
      <c r="E14" s="1">
        <v>4</v>
      </c>
      <c r="F14"/>
    </row>
    <row r="15" spans="1:6">
      <c r="A15" s="137" t="s">
        <v>267</v>
      </c>
      <c r="D15" s="1">
        <v>5</v>
      </c>
      <c r="E15" s="1">
        <v>5</v>
      </c>
      <c r="F15"/>
    </row>
    <row r="16" spans="1:6">
      <c r="A16" s="137" t="s">
        <v>163</v>
      </c>
      <c r="B16" s="1">
        <v>1</v>
      </c>
      <c r="D16" s="1">
        <v>2</v>
      </c>
      <c r="E16" s="1">
        <v>3</v>
      </c>
      <c r="F16"/>
    </row>
    <row r="17" spans="1:5" customFormat="1">
      <c r="A17" s="137" t="s">
        <v>179</v>
      </c>
      <c r="B17" s="1"/>
      <c r="C17" s="1"/>
      <c r="D17" s="1">
        <v>1</v>
      </c>
      <c r="E17" s="1">
        <v>1</v>
      </c>
    </row>
    <row r="18" spans="1:5" customFormat="1">
      <c r="A18" s="137" t="s">
        <v>492</v>
      </c>
      <c r="B18" s="1">
        <v>5</v>
      </c>
      <c r="C18" s="1"/>
      <c r="D18" s="1">
        <v>6</v>
      </c>
      <c r="E18" s="1">
        <v>11</v>
      </c>
    </row>
    <row r="19" spans="1:5" customFormat="1">
      <c r="A19" s="137" t="s">
        <v>488</v>
      </c>
      <c r="B19" s="1">
        <v>2</v>
      </c>
      <c r="C19" s="1"/>
      <c r="D19" s="1">
        <v>5</v>
      </c>
      <c r="E19" s="1">
        <v>7</v>
      </c>
    </row>
    <row r="20" spans="1:5" customFormat="1">
      <c r="A20" s="137" t="s">
        <v>368</v>
      </c>
      <c r="B20" s="1"/>
      <c r="C20" s="1"/>
      <c r="D20" s="1">
        <v>2</v>
      </c>
      <c r="E20" s="1">
        <v>2</v>
      </c>
    </row>
    <row r="21" spans="1:5" customFormat="1">
      <c r="A21" s="137" t="s">
        <v>564</v>
      </c>
      <c r="B21" s="1"/>
      <c r="C21" s="1"/>
      <c r="D21" s="1">
        <v>2</v>
      </c>
      <c r="E21" s="1">
        <v>2</v>
      </c>
    </row>
    <row r="22" spans="1:5" customFormat="1">
      <c r="A22" s="137" t="s">
        <v>364</v>
      </c>
      <c r="B22" s="1">
        <v>3</v>
      </c>
      <c r="C22" s="1"/>
      <c r="D22" s="1">
        <v>2</v>
      </c>
      <c r="E22" s="1">
        <v>5</v>
      </c>
    </row>
    <row r="23" spans="1:5" customFormat="1">
      <c r="A23" s="137" t="s">
        <v>78</v>
      </c>
      <c r="B23" s="1">
        <v>1</v>
      </c>
      <c r="C23" s="1">
        <v>1</v>
      </c>
      <c r="D23" s="1">
        <v>3</v>
      </c>
      <c r="E23" s="1">
        <v>5</v>
      </c>
    </row>
    <row r="24" spans="1:5" customFormat="1">
      <c r="A24" s="137" t="s">
        <v>93</v>
      </c>
      <c r="B24" s="1"/>
      <c r="C24" s="1"/>
      <c r="D24" s="1">
        <v>1</v>
      </c>
      <c r="E24" s="1">
        <v>1</v>
      </c>
    </row>
    <row r="25" spans="1:5" customFormat="1">
      <c r="A25" s="137" t="s">
        <v>753</v>
      </c>
      <c r="B25" s="1">
        <v>32</v>
      </c>
      <c r="C25" s="1">
        <v>3</v>
      </c>
      <c r="D25" s="1">
        <v>56</v>
      </c>
      <c r="E25" s="1">
        <v>91</v>
      </c>
    </row>
    <row r="26" spans="1:5" customFormat="1"/>
    <row r="27" spans="1:5" customFormat="1"/>
    <row r="28" spans="1:5" customFormat="1"/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CFED5-3C8B-45A3-8F09-02BD54D3626C}">
  <dimension ref="A1:AG145"/>
  <sheetViews>
    <sheetView showGridLines="0" workbookViewId="0">
      <selection activeCell="G22" sqref="G22"/>
    </sheetView>
  </sheetViews>
  <sheetFormatPr defaultRowHeight="15" outlineLevelCol="1"/>
  <cols>
    <col min="1" max="1" width="7" bestFit="1" customWidth="1"/>
    <col min="2" max="2" width="7" customWidth="1"/>
    <col min="3" max="3" width="8.7109375" customWidth="1"/>
    <col min="4" max="4" width="9" bestFit="1" customWidth="1"/>
    <col min="5" max="5" width="28" style="137" bestFit="1" customWidth="1"/>
    <col min="6" max="6" width="26.7109375" customWidth="1" outlineLevel="1"/>
    <col min="7" max="7" width="15.42578125" customWidth="1" outlineLevel="1"/>
    <col min="8" max="8" width="20.85546875" customWidth="1"/>
    <col min="9" max="10" width="16" customWidth="1" outlineLevel="1"/>
    <col min="11" max="11" width="10" customWidth="1"/>
    <col min="12" max="13" width="0" hidden="1" customWidth="1"/>
    <col min="15" max="15" width="36.28515625" bestFit="1" customWidth="1"/>
    <col min="16" max="16" width="19.7109375" style="1" bestFit="1" customWidth="1"/>
    <col min="17" max="17" width="10.5703125" bestFit="1" customWidth="1"/>
    <col min="18" max="18" width="14" bestFit="1" customWidth="1"/>
    <col min="19" max="19" width="36.28515625" bestFit="1" customWidth="1"/>
    <col min="20" max="20" width="22" bestFit="1" customWidth="1"/>
    <col min="21" max="21" width="7.85546875" bestFit="1" customWidth="1"/>
    <col min="22" max="23" width="8.140625" bestFit="1" customWidth="1"/>
    <col min="24" max="24" width="7.85546875" bestFit="1" customWidth="1"/>
    <col min="25" max="25" width="8.140625" bestFit="1" customWidth="1"/>
    <col min="26" max="26" width="7.85546875" bestFit="1" customWidth="1"/>
    <col min="27" max="28" width="8.140625" bestFit="1" customWidth="1"/>
    <col min="29" max="29" width="7.85546875" bestFit="1" customWidth="1"/>
    <col min="30" max="31" width="8.140625" bestFit="1" customWidth="1"/>
    <col min="32" max="32" width="7.85546875" bestFit="1" customWidth="1"/>
    <col min="33" max="33" width="10.5703125" bestFit="1" customWidth="1"/>
  </cols>
  <sheetData>
    <row r="1" spans="1:33">
      <c r="J1" s="212" t="s">
        <v>754</v>
      </c>
      <c r="K1" s="212"/>
      <c r="S1" s="136" t="s">
        <v>53</v>
      </c>
      <c r="T1" t="s">
        <v>755</v>
      </c>
    </row>
    <row r="2" spans="1:33">
      <c r="A2" s="92" t="s">
        <v>38</v>
      </c>
      <c r="B2" s="92" t="s">
        <v>756</v>
      </c>
      <c r="C2" s="92" t="s">
        <v>39</v>
      </c>
      <c r="D2" s="92" t="s">
        <v>40</v>
      </c>
      <c r="E2" s="149" t="s">
        <v>41</v>
      </c>
      <c r="F2" s="92" t="s">
        <v>44</v>
      </c>
      <c r="G2" s="92" t="s">
        <v>45</v>
      </c>
      <c r="H2" s="96" t="s">
        <v>53</v>
      </c>
      <c r="I2" s="78" t="s">
        <v>56</v>
      </c>
      <c r="J2" s="213" t="s">
        <v>757</v>
      </c>
      <c r="K2" s="214" t="s">
        <v>758</v>
      </c>
    </row>
    <row r="3" spans="1:33">
      <c r="A3" s="216" t="s">
        <v>61</v>
      </c>
      <c r="B3" s="216">
        <v>45894</v>
      </c>
      <c r="C3" s="216" t="s">
        <v>157</v>
      </c>
      <c r="D3" s="217" t="s">
        <v>157</v>
      </c>
      <c r="E3" s="218" t="s">
        <v>158</v>
      </c>
      <c r="F3" s="216" t="s">
        <v>117</v>
      </c>
      <c r="G3" s="219" t="s">
        <v>137</v>
      </c>
      <c r="H3" s="216" t="s">
        <v>755</v>
      </c>
      <c r="I3" s="216" t="s">
        <v>119</v>
      </c>
      <c r="J3" s="220">
        <v>46091</v>
      </c>
      <c r="K3" s="221">
        <v>0.39583333333333331</v>
      </c>
      <c r="O3" s="136" t="s">
        <v>759</v>
      </c>
      <c r="P3" s="136" t="s">
        <v>760</v>
      </c>
      <c r="S3" s="136" t="s">
        <v>759</v>
      </c>
      <c r="T3" s="136" t="s">
        <v>760</v>
      </c>
    </row>
    <row r="4" spans="1:33">
      <c r="A4" s="216" t="s">
        <v>61</v>
      </c>
      <c r="B4" s="216">
        <v>45702</v>
      </c>
      <c r="C4" s="216" t="s">
        <v>172</v>
      </c>
      <c r="D4" s="216" t="s">
        <v>173</v>
      </c>
      <c r="E4" s="222" t="s">
        <v>174</v>
      </c>
      <c r="F4" s="216" t="s">
        <v>117</v>
      </c>
      <c r="G4" s="216" t="s">
        <v>163</v>
      </c>
      <c r="H4" s="216" t="s">
        <v>755</v>
      </c>
      <c r="I4" s="216" t="s">
        <v>119</v>
      </c>
      <c r="J4" s="220">
        <v>46091</v>
      </c>
      <c r="K4" s="221">
        <v>0.60416666666666663</v>
      </c>
      <c r="O4" s="136" t="s">
        <v>761</v>
      </c>
      <c r="P4" t="s">
        <v>755</v>
      </c>
      <c r="Q4" t="s">
        <v>753</v>
      </c>
      <c r="T4" t="s">
        <v>762</v>
      </c>
      <c r="U4" t="s">
        <v>763</v>
      </c>
      <c r="V4" t="s">
        <v>764</v>
      </c>
      <c r="X4" t="s">
        <v>765</v>
      </c>
      <c r="Y4" t="s">
        <v>766</v>
      </c>
      <c r="Z4" t="s">
        <v>767</v>
      </c>
      <c r="AA4" t="s">
        <v>768</v>
      </c>
      <c r="AC4" t="s">
        <v>769</v>
      </c>
      <c r="AD4" t="s">
        <v>770</v>
      </c>
      <c r="AF4" t="s">
        <v>771</v>
      </c>
      <c r="AG4" t="s">
        <v>753</v>
      </c>
    </row>
    <row r="5" spans="1:33">
      <c r="A5" s="216" t="s">
        <v>61</v>
      </c>
      <c r="B5" s="216">
        <v>45965</v>
      </c>
      <c r="C5" s="216" t="s">
        <v>134</v>
      </c>
      <c r="D5" s="216" t="s">
        <v>135</v>
      </c>
      <c r="E5" s="218" t="s">
        <v>136</v>
      </c>
      <c r="F5" s="216" t="s">
        <v>117</v>
      </c>
      <c r="G5" s="216" t="s">
        <v>137</v>
      </c>
      <c r="H5" s="216" t="s">
        <v>755</v>
      </c>
      <c r="I5" s="216" t="s">
        <v>119</v>
      </c>
      <c r="J5" s="220">
        <v>46091</v>
      </c>
      <c r="K5" s="221">
        <v>0.41666666666666669</v>
      </c>
      <c r="O5" s="137" t="s">
        <v>70</v>
      </c>
      <c r="P5" s="1">
        <v>12</v>
      </c>
      <c r="Q5" s="1">
        <v>12</v>
      </c>
      <c r="S5" s="136" t="s">
        <v>761</v>
      </c>
      <c r="T5" s="215">
        <v>0.39583333333333331</v>
      </c>
      <c r="V5" s="215">
        <v>0.41666666666666669</v>
      </c>
      <c r="W5" s="215">
        <v>0.4375</v>
      </c>
      <c r="Y5" s="215">
        <v>0.45833333333333331</v>
      </c>
      <c r="AA5" s="215">
        <v>0.58333333333333337</v>
      </c>
      <c r="AB5" s="215">
        <v>0.60416666666666663</v>
      </c>
      <c r="AD5" s="215">
        <v>0.625</v>
      </c>
      <c r="AE5" s="215">
        <v>0.64583333333333337</v>
      </c>
    </row>
    <row r="6" spans="1:33">
      <c r="A6" s="216" t="s">
        <v>61</v>
      </c>
      <c r="B6" s="216">
        <v>45960</v>
      </c>
      <c r="C6" s="223" t="s">
        <v>327</v>
      </c>
      <c r="D6" s="216" t="s">
        <v>328</v>
      </c>
      <c r="E6" s="218" t="s">
        <v>329</v>
      </c>
      <c r="F6" s="216" t="s">
        <v>317</v>
      </c>
      <c r="G6" s="216" t="s">
        <v>143</v>
      </c>
      <c r="H6" s="216" t="s">
        <v>755</v>
      </c>
      <c r="I6" s="216" t="s">
        <v>119</v>
      </c>
      <c r="J6" s="220">
        <v>46091</v>
      </c>
      <c r="K6" s="221">
        <v>0.45833333333333331</v>
      </c>
      <c r="O6" s="166" t="s">
        <v>67</v>
      </c>
      <c r="P6" s="1">
        <v>3</v>
      </c>
      <c r="Q6" s="1">
        <v>3</v>
      </c>
      <c r="S6" s="137" t="s">
        <v>70</v>
      </c>
      <c r="T6" s="1">
        <v>1</v>
      </c>
      <c r="U6" s="1">
        <v>1</v>
      </c>
      <c r="V6" s="1">
        <v>1</v>
      </c>
      <c r="W6" s="1">
        <v>2</v>
      </c>
      <c r="X6" s="1">
        <v>3</v>
      </c>
      <c r="Y6" s="1">
        <v>1</v>
      </c>
      <c r="Z6" s="1">
        <v>1</v>
      </c>
      <c r="AA6" s="1">
        <v>2</v>
      </c>
      <c r="AB6" s="1">
        <v>2</v>
      </c>
      <c r="AC6" s="1">
        <v>4</v>
      </c>
      <c r="AD6" s="1">
        <v>2</v>
      </c>
      <c r="AE6" s="1">
        <v>1</v>
      </c>
      <c r="AF6" s="1">
        <v>3</v>
      </c>
      <c r="AG6" s="1">
        <v>12</v>
      </c>
    </row>
    <row r="7" spans="1:33">
      <c r="A7" s="216" t="s">
        <v>61</v>
      </c>
      <c r="B7" s="216">
        <v>45963</v>
      </c>
      <c r="C7" s="223" t="s">
        <v>351</v>
      </c>
      <c r="D7" s="216" t="s">
        <v>352</v>
      </c>
      <c r="E7" s="218" t="s">
        <v>353</v>
      </c>
      <c r="F7" s="216" t="s">
        <v>317</v>
      </c>
      <c r="G7" s="216" t="s">
        <v>143</v>
      </c>
      <c r="H7" s="216" t="s">
        <v>755</v>
      </c>
      <c r="I7" s="216" t="s">
        <v>119</v>
      </c>
      <c r="J7" s="220">
        <v>46091</v>
      </c>
      <c r="K7" s="221">
        <v>0.4375</v>
      </c>
      <c r="O7" s="166" t="s">
        <v>363</v>
      </c>
      <c r="P7" s="1">
        <v>2</v>
      </c>
      <c r="Q7" s="1">
        <v>2</v>
      </c>
      <c r="S7" s="166" t="s">
        <v>67</v>
      </c>
      <c r="T7" s="1"/>
      <c r="U7" s="1"/>
      <c r="V7" s="1"/>
      <c r="W7" s="1">
        <v>1</v>
      </c>
      <c r="X7" s="1">
        <v>1</v>
      </c>
      <c r="Y7" s="1"/>
      <c r="Z7" s="1"/>
      <c r="AA7" s="1">
        <v>1</v>
      </c>
      <c r="AB7" s="1"/>
      <c r="AC7" s="1">
        <v>1</v>
      </c>
      <c r="AD7" s="1"/>
      <c r="AE7" s="1">
        <v>1</v>
      </c>
      <c r="AF7" s="1">
        <v>1</v>
      </c>
      <c r="AG7" s="1">
        <v>3</v>
      </c>
    </row>
    <row r="8" spans="1:33">
      <c r="A8" s="216" t="s">
        <v>61</v>
      </c>
      <c r="B8" s="216">
        <v>45955</v>
      </c>
      <c r="C8" s="216" t="s">
        <v>324</v>
      </c>
      <c r="D8" s="216" t="s">
        <v>325</v>
      </c>
      <c r="E8" s="218" t="s">
        <v>326</v>
      </c>
      <c r="F8" s="216" t="s">
        <v>317</v>
      </c>
      <c r="G8" s="216" t="s">
        <v>143</v>
      </c>
      <c r="H8" s="216" t="s">
        <v>755</v>
      </c>
      <c r="I8" s="216" t="s">
        <v>119</v>
      </c>
      <c r="J8" s="220">
        <v>46091</v>
      </c>
      <c r="K8" s="221">
        <v>0.58333333333333337</v>
      </c>
      <c r="O8" s="166" t="s">
        <v>414</v>
      </c>
      <c r="P8" s="1">
        <v>4</v>
      </c>
      <c r="Q8" s="1">
        <v>4</v>
      </c>
      <c r="S8" s="211">
        <v>46092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>
        <v>1</v>
      </c>
      <c r="AF8" s="1">
        <v>1</v>
      </c>
      <c r="AG8" s="1">
        <v>1</v>
      </c>
    </row>
    <row r="9" spans="1:33">
      <c r="A9" s="216" t="s">
        <v>61</v>
      </c>
      <c r="B9" s="216">
        <v>45739</v>
      </c>
      <c r="C9" s="216" t="s">
        <v>395</v>
      </c>
      <c r="D9" s="216" t="s">
        <v>396</v>
      </c>
      <c r="E9" s="222" t="s">
        <v>397</v>
      </c>
      <c r="F9" s="216" t="s">
        <v>363</v>
      </c>
      <c r="G9" s="216" t="s">
        <v>364</v>
      </c>
      <c r="H9" s="216" t="s">
        <v>755</v>
      </c>
      <c r="I9" s="216" t="s">
        <v>70</v>
      </c>
      <c r="J9" s="220">
        <v>46091</v>
      </c>
      <c r="K9" s="221">
        <v>0.625</v>
      </c>
      <c r="O9" s="166" t="s">
        <v>203</v>
      </c>
      <c r="P9" s="1">
        <v>3</v>
      </c>
      <c r="Q9" s="1">
        <v>3</v>
      </c>
      <c r="S9" s="211">
        <v>46093</v>
      </c>
      <c r="T9" s="1"/>
      <c r="U9" s="1"/>
      <c r="V9" s="1"/>
      <c r="W9" s="1">
        <v>1</v>
      </c>
      <c r="X9" s="1">
        <v>1</v>
      </c>
      <c r="Y9" s="1"/>
      <c r="Z9" s="1"/>
      <c r="AA9" s="1"/>
      <c r="AB9" s="1"/>
      <c r="AC9" s="1"/>
      <c r="AD9" s="1"/>
      <c r="AE9" s="1"/>
      <c r="AF9" s="1"/>
      <c r="AG9" s="1">
        <v>1</v>
      </c>
    </row>
    <row r="10" spans="1:33">
      <c r="A10" s="224" t="s">
        <v>61</v>
      </c>
      <c r="B10" s="224">
        <v>45706</v>
      </c>
      <c r="C10" s="224" t="s">
        <v>231</v>
      </c>
      <c r="D10" s="224" t="s">
        <v>232</v>
      </c>
      <c r="E10" s="225" t="s">
        <v>233</v>
      </c>
      <c r="F10" s="224" t="s">
        <v>203</v>
      </c>
      <c r="G10" s="224" t="s">
        <v>204</v>
      </c>
      <c r="H10" s="224" t="s">
        <v>755</v>
      </c>
      <c r="I10" s="224" t="s">
        <v>70</v>
      </c>
      <c r="J10" s="226">
        <v>46092</v>
      </c>
      <c r="K10" s="227">
        <v>0.39583333333333331</v>
      </c>
      <c r="O10" s="137" t="s">
        <v>119</v>
      </c>
      <c r="P10" s="1">
        <v>14</v>
      </c>
      <c r="Q10" s="1">
        <v>14</v>
      </c>
      <c r="S10" s="211">
        <v>46094</v>
      </c>
      <c r="T10" s="1"/>
      <c r="U10" s="1"/>
      <c r="V10" s="1"/>
      <c r="W10" s="1"/>
      <c r="X10" s="1"/>
      <c r="Y10" s="1"/>
      <c r="Z10" s="1"/>
      <c r="AA10" s="1">
        <v>1</v>
      </c>
      <c r="AB10" s="1"/>
      <c r="AC10" s="1">
        <v>1</v>
      </c>
      <c r="AD10" s="1"/>
      <c r="AE10" s="1"/>
      <c r="AF10" s="1"/>
      <c r="AG10" s="1">
        <v>1</v>
      </c>
    </row>
    <row r="11" spans="1:33">
      <c r="A11" s="224" t="s">
        <v>61</v>
      </c>
      <c r="B11" s="224">
        <v>45750</v>
      </c>
      <c r="C11" s="224" t="s">
        <v>217</v>
      </c>
      <c r="D11" s="224" t="s">
        <v>218</v>
      </c>
      <c r="E11" s="225" t="s">
        <v>219</v>
      </c>
      <c r="F11" s="224" t="s">
        <v>203</v>
      </c>
      <c r="G11" s="224" t="s">
        <v>204</v>
      </c>
      <c r="H11" s="224" t="s">
        <v>755</v>
      </c>
      <c r="I11" s="224" t="s">
        <v>70</v>
      </c>
      <c r="J11" s="226">
        <v>46092</v>
      </c>
      <c r="K11" s="227">
        <v>0.4375</v>
      </c>
      <c r="O11" s="166" t="s">
        <v>117</v>
      </c>
      <c r="P11" s="1">
        <v>3</v>
      </c>
      <c r="Q11" s="1">
        <v>3</v>
      </c>
      <c r="S11" s="166" t="s">
        <v>363</v>
      </c>
      <c r="T11" s="1"/>
      <c r="U11" s="1"/>
      <c r="V11" s="1"/>
      <c r="W11" s="1"/>
      <c r="X11" s="1"/>
      <c r="Y11" s="1"/>
      <c r="Z11" s="1"/>
      <c r="AA11" s="1"/>
      <c r="AB11" s="1">
        <v>1</v>
      </c>
      <c r="AC11" s="1">
        <v>1</v>
      </c>
      <c r="AD11" s="1">
        <v>1</v>
      </c>
      <c r="AE11" s="1"/>
      <c r="AF11" s="1">
        <v>1</v>
      </c>
      <c r="AG11" s="1">
        <v>2</v>
      </c>
    </row>
    <row r="12" spans="1:33">
      <c r="A12" s="224" t="s">
        <v>61</v>
      </c>
      <c r="B12" s="224">
        <v>45826</v>
      </c>
      <c r="C12" s="224" t="s">
        <v>237</v>
      </c>
      <c r="D12" s="224" t="s">
        <v>237</v>
      </c>
      <c r="E12" s="228" t="s">
        <v>238</v>
      </c>
      <c r="F12" s="224" t="s">
        <v>203</v>
      </c>
      <c r="G12" s="229" t="s">
        <v>204</v>
      </c>
      <c r="H12" s="224" t="s">
        <v>755</v>
      </c>
      <c r="I12" s="224" t="s">
        <v>70</v>
      </c>
      <c r="J12" s="226">
        <v>46092</v>
      </c>
      <c r="K12" s="227">
        <v>0.60416666666666663</v>
      </c>
      <c r="O12" s="166" t="s">
        <v>317</v>
      </c>
      <c r="P12" s="1">
        <v>3</v>
      </c>
      <c r="Q12" s="1">
        <v>3</v>
      </c>
      <c r="S12" s="211">
        <v>46091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>
        <v>1</v>
      </c>
      <c r="AE12" s="1"/>
      <c r="AF12" s="1">
        <v>1</v>
      </c>
      <c r="AG12" s="1">
        <v>1</v>
      </c>
    </row>
    <row r="13" spans="1:33">
      <c r="A13" s="224" t="s">
        <v>61</v>
      </c>
      <c r="B13" s="224">
        <v>45704</v>
      </c>
      <c r="C13" s="224" t="s">
        <v>105</v>
      </c>
      <c r="D13" s="224" t="s">
        <v>106</v>
      </c>
      <c r="E13" s="225" t="s">
        <v>107</v>
      </c>
      <c r="F13" s="224" t="s">
        <v>67</v>
      </c>
      <c r="G13" s="224" t="s">
        <v>93</v>
      </c>
      <c r="H13" s="224" t="s">
        <v>755</v>
      </c>
      <c r="I13" s="224" t="s">
        <v>70</v>
      </c>
      <c r="J13" s="226">
        <v>46092</v>
      </c>
      <c r="K13" s="227">
        <v>0.64583333333333337</v>
      </c>
      <c r="O13" s="166" t="s">
        <v>640</v>
      </c>
      <c r="P13" s="1">
        <v>8</v>
      </c>
      <c r="Q13" s="1">
        <v>8</v>
      </c>
      <c r="S13" s="211">
        <v>46093</v>
      </c>
      <c r="T13" s="1"/>
      <c r="U13" s="1"/>
      <c r="V13" s="1"/>
      <c r="W13" s="1"/>
      <c r="X13" s="1"/>
      <c r="Y13" s="1"/>
      <c r="Z13" s="1"/>
      <c r="AA13" s="1"/>
      <c r="AB13" s="1">
        <v>1</v>
      </c>
      <c r="AC13" s="1">
        <v>1</v>
      </c>
      <c r="AD13" s="1"/>
      <c r="AE13" s="1"/>
      <c r="AF13" s="1"/>
      <c r="AG13" s="1">
        <v>1</v>
      </c>
    </row>
    <row r="14" spans="1:33">
      <c r="A14" s="224" t="s">
        <v>61</v>
      </c>
      <c r="B14" s="224">
        <v>45921</v>
      </c>
      <c r="C14" s="230" t="s">
        <v>477</v>
      </c>
      <c r="D14" s="231" t="s">
        <v>478</v>
      </c>
      <c r="E14" s="228" t="s">
        <v>479</v>
      </c>
      <c r="F14" s="224" t="s">
        <v>414</v>
      </c>
      <c r="G14" s="229" t="s">
        <v>415</v>
      </c>
      <c r="H14" s="224" t="s">
        <v>755</v>
      </c>
      <c r="I14" s="224" t="s">
        <v>70</v>
      </c>
      <c r="J14" s="226">
        <v>46092</v>
      </c>
      <c r="K14" s="227">
        <v>0.45833333333333331</v>
      </c>
      <c r="O14" s="137" t="s">
        <v>753</v>
      </c>
      <c r="P14" s="1">
        <v>26</v>
      </c>
      <c r="Q14" s="1">
        <v>26</v>
      </c>
      <c r="S14" s="166" t="s">
        <v>414</v>
      </c>
      <c r="T14" s="1"/>
      <c r="U14" s="1"/>
      <c r="V14" s="1">
        <v>1</v>
      </c>
      <c r="W14" s="1"/>
      <c r="X14" s="1">
        <v>1</v>
      </c>
      <c r="Y14" s="1">
        <v>1</v>
      </c>
      <c r="Z14" s="1">
        <v>1</v>
      </c>
      <c r="AA14" s="1">
        <v>1</v>
      </c>
      <c r="AB14" s="1"/>
      <c r="AC14" s="1">
        <v>1</v>
      </c>
      <c r="AD14" s="1">
        <v>1</v>
      </c>
      <c r="AE14" s="1"/>
      <c r="AF14" s="1">
        <v>1</v>
      </c>
      <c r="AG14" s="1">
        <v>4</v>
      </c>
    </row>
    <row r="15" spans="1:33">
      <c r="A15" s="224" t="s">
        <v>61</v>
      </c>
      <c r="B15" s="224">
        <v>45752</v>
      </c>
      <c r="C15" s="224" t="s">
        <v>419</v>
      </c>
      <c r="D15" s="224" t="s">
        <v>420</v>
      </c>
      <c r="E15" s="225" t="s">
        <v>421</v>
      </c>
      <c r="F15" s="224" t="s">
        <v>414</v>
      </c>
      <c r="G15" s="224" t="s">
        <v>415</v>
      </c>
      <c r="H15" s="224" t="s">
        <v>755</v>
      </c>
      <c r="I15" s="224" t="s">
        <v>70</v>
      </c>
      <c r="J15" s="226">
        <v>46092</v>
      </c>
      <c r="K15" s="227">
        <v>0.41666666666666669</v>
      </c>
      <c r="P15"/>
      <c r="S15" s="211">
        <v>46092</v>
      </c>
      <c r="T15" s="1"/>
      <c r="U15" s="1"/>
      <c r="V15" s="1">
        <v>1</v>
      </c>
      <c r="W15" s="1"/>
      <c r="X15" s="1">
        <v>1</v>
      </c>
      <c r="Y15" s="1">
        <v>1</v>
      </c>
      <c r="Z15" s="1">
        <v>1</v>
      </c>
      <c r="AA15" s="1">
        <v>1</v>
      </c>
      <c r="AB15" s="1"/>
      <c r="AC15" s="1">
        <v>1</v>
      </c>
      <c r="AD15" s="1">
        <v>1</v>
      </c>
      <c r="AE15" s="1"/>
      <c r="AF15" s="1">
        <v>1</v>
      </c>
      <c r="AG15" s="1">
        <v>4</v>
      </c>
    </row>
    <row r="16" spans="1:33">
      <c r="A16" s="224" t="s">
        <v>61</v>
      </c>
      <c r="B16" s="224">
        <v>45672</v>
      </c>
      <c r="C16" s="224" t="s">
        <v>455</v>
      </c>
      <c r="D16" s="224" t="s">
        <v>456</v>
      </c>
      <c r="E16" s="225" t="s">
        <v>457</v>
      </c>
      <c r="F16" s="224" t="s">
        <v>414</v>
      </c>
      <c r="G16" s="224" t="s">
        <v>415</v>
      </c>
      <c r="H16" s="224" t="s">
        <v>755</v>
      </c>
      <c r="I16" s="224" t="s">
        <v>70</v>
      </c>
      <c r="J16" s="226">
        <v>46092</v>
      </c>
      <c r="K16" s="227">
        <v>0.58333333333333337</v>
      </c>
      <c r="P16"/>
      <c r="S16" s="166" t="s">
        <v>203</v>
      </c>
      <c r="T16" s="1">
        <v>1</v>
      </c>
      <c r="U16" s="1">
        <v>1</v>
      </c>
      <c r="V16" s="1"/>
      <c r="W16" s="1">
        <v>1</v>
      </c>
      <c r="X16" s="1">
        <v>1</v>
      </c>
      <c r="Y16" s="1"/>
      <c r="Z16" s="1"/>
      <c r="AA16" s="1"/>
      <c r="AB16" s="1">
        <v>1</v>
      </c>
      <c r="AC16" s="1">
        <v>1</v>
      </c>
      <c r="AD16" s="1"/>
      <c r="AE16" s="1"/>
      <c r="AF16" s="1"/>
      <c r="AG16" s="1">
        <v>3</v>
      </c>
    </row>
    <row r="17" spans="1:33">
      <c r="A17" s="224" t="s">
        <v>61</v>
      </c>
      <c r="B17" s="224">
        <v>45959</v>
      </c>
      <c r="C17" s="224" t="s">
        <v>437</v>
      </c>
      <c r="D17" s="224" t="s">
        <v>438</v>
      </c>
      <c r="E17" s="225" t="s">
        <v>772</v>
      </c>
      <c r="F17" s="224" t="s">
        <v>414</v>
      </c>
      <c r="G17" s="224" t="s">
        <v>415</v>
      </c>
      <c r="H17" s="224" t="s">
        <v>755</v>
      </c>
      <c r="I17" s="224" t="s">
        <v>70</v>
      </c>
      <c r="J17" s="226">
        <v>46092</v>
      </c>
      <c r="K17" s="227">
        <v>0.625</v>
      </c>
      <c r="S17" s="211">
        <v>46092</v>
      </c>
      <c r="T17" s="1">
        <v>1</v>
      </c>
      <c r="U17" s="1">
        <v>1</v>
      </c>
      <c r="V17" s="1"/>
      <c r="W17" s="1">
        <v>1</v>
      </c>
      <c r="X17" s="1">
        <v>1</v>
      </c>
      <c r="Y17" s="1"/>
      <c r="Z17" s="1"/>
      <c r="AA17" s="1"/>
      <c r="AB17" s="1">
        <v>1</v>
      </c>
      <c r="AC17" s="1">
        <v>1</v>
      </c>
      <c r="AD17" s="1"/>
      <c r="AE17" s="1"/>
      <c r="AF17" s="1"/>
      <c r="AG17" s="1">
        <v>3</v>
      </c>
    </row>
    <row r="18" spans="1:33">
      <c r="A18" s="232" t="s">
        <v>61</v>
      </c>
      <c r="B18" s="232">
        <v>45748</v>
      </c>
      <c r="C18" s="232" t="s">
        <v>496</v>
      </c>
      <c r="D18" s="232" t="s">
        <v>497</v>
      </c>
      <c r="E18" s="150" t="s">
        <v>498</v>
      </c>
      <c r="F18" s="232" t="s">
        <v>640</v>
      </c>
      <c r="G18" s="232" t="s">
        <v>492</v>
      </c>
      <c r="H18" s="232" t="s">
        <v>755</v>
      </c>
      <c r="I18" s="232" t="s">
        <v>119</v>
      </c>
      <c r="J18" s="233">
        <v>46093</v>
      </c>
      <c r="K18" s="234">
        <v>0.39583333333333331</v>
      </c>
      <c r="S18" s="137" t="s">
        <v>119</v>
      </c>
      <c r="T18" s="1">
        <v>2</v>
      </c>
      <c r="U18" s="1">
        <v>2</v>
      </c>
      <c r="V18" s="1">
        <v>3</v>
      </c>
      <c r="W18" s="1">
        <v>2</v>
      </c>
      <c r="X18" s="1">
        <v>5</v>
      </c>
      <c r="Y18" s="1">
        <v>1</v>
      </c>
      <c r="Z18" s="1">
        <v>1</v>
      </c>
      <c r="AA18" s="1">
        <v>2</v>
      </c>
      <c r="AB18" s="1">
        <v>2</v>
      </c>
      <c r="AC18" s="1">
        <v>4</v>
      </c>
      <c r="AD18" s="1">
        <v>1</v>
      </c>
      <c r="AE18" s="1">
        <v>1</v>
      </c>
      <c r="AF18" s="1">
        <v>2</v>
      </c>
      <c r="AG18" s="1">
        <v>14</v>
      </c>
    </row>
    <row r="19" spans="1:33">
      <c r="A19" s="232" t="s">
        <v>61</v>
      </c>
      <c r="B19" s="232">
        <v>45708</v>
      </c>
      <c r="C19" s="232" t="s">
        <v>551</v>
      </c>
      <c r="D19" s="232" t="s">
        <v>552</v>
      </c>
      <c r="E19" s="150" t="s">
        <v>553</v>
      </c>
      <c r="F19" s="232" t="s">
        <v>640</v>
      </c>
      <c r="G19" s="232" t="s">
        <v>488</v>
      </c>
      <c r="H19" s="232" t="s">
        <v>755</v>
      </c>
      <c r="I19" s="232" t="s">
        <v>119</v>
      </c>
      <c r="J19" s="233">
        <v>46093</v>
      </c>
      <c r="K19" s="234">
        <v>0.58333333333333337</v>
      </c>
      <c r="S19" s="166" t="s">
        <v>117</v>
      </c>
      <c r="T19" s="1">
        <v>1</v>
      </c>
      <c r="U19" s="1">
        <v>1</v>
      </c>
      <c r="V19" s="1">
        <v>1</v>
      </c>
      <c r="W19" s="1"/>
      <c r="X19" s="1">
        <v>1</v>
      </c>
      <c r="Y19" s="1"/>
      <c r="Z19" s="1"/>
      <c r="AA19" s="1"/>
      <c r="AB19" s="1">
        <v>1</v>
      </c>
      <c r="AC19" s="1">
        <v>1</v>
      </c>
      <c r="AD19" s="1"/>
      <c r="AE19" s="1"/>
      <c r="AF19" s="1"/>
      <c r="AG19" s="1">
        <v>3</v>
      </c>
    </row>
    <row r="20" spans="1:33">
      <c r="A20" s="232" t="s">
        <v>61</v>
      </c>
      <c r="B20" s="232">
        <v>45756</v>
      </c>
      <c r="C20" s="232" t="s">
        <v>533</v>
      </c>
      <c r="D20" s="232" t="s">
        <v>534</v>
      </c>
      <c r="E20" s="150" t="s">
        <v>773</v>
      </c>
      <c r="F20" s="232" t="s">
        <v>640</v>
      </c>
      <c r="G20" s="232" t="s">
        <v>488</v>
      </c>
      <c r="H20" s="232" t="s">
        <v>755</v>
      </c>
      <c r="I20" s="232" t="s">
        <v>119</v>
      </c>
      <c r="J20" s="233">
        <v>46093</v>
      </c>
      <c r="K20" s="234">
        <v>0.60416666666666663</v>
      </c>
      <c r="S20" s="211">
        <v>46091</v>
      </c>
      <c r="T20" s="1">
        <v>1</v>
      </c>
      <c r="U20" s="1">
        <v>1</v>
      </c>
      <c r="V20" s="1">
        <v>1</v>
      </c>
      <c r="W20" s="1"/>
      <c r="X20" s="1">
        <v>1</v>
      </c>
      <c r="Y20" s="1"/>
      <c r="Z20" s="1"/>
      <c r="AA20" s="1"/>
      <c r="AB20" s="1">
        <v>1</v>
      </c>
      <c r="AC20" s="1">
        <v>1</v>
      </c>
      <c r="AD20" s="1"/>
      <c r="AE20" s="1"/>
      <c r="AF20" s="1"/>
      <c r="AG20" s="1">
        <v>3</v>
      </c>
    </row>
    <row r="21" spans="1:33">
      <c r="A21" s="232" t="s">
        <v>61</v>
      </c>
      <c r="B21" s="232">
        <v>45753</v>
      </c>
      <c r="C21" s="232" t="s">
        <v>558</v>
      </c>
      <c r="D21" s="232" t="s">
        <v>558</v>
      </c>
      <c r="E21" s="150" t="s">
        <v>559</v>
      </c>
      <c r="F21" s="232" t="s">
        <v>640</v>
      </c>
      <c r="G21" s="232" t="s">
        <v>488</v>
      </c>
      <c r="H21" s="232" t="s">
        <v>755</v>
      </c>
      <c r="I21" s="232" t="s">
        <v>119</v>
      </c>
      <c r="J21" s="233">
        <v>46093</v>
      </c>
      <c r="K21" s="234">
        <v>0.625</v>
      </c>
      <c r="S21" s="166" t="s">
        <v>317</v>
      </c>
      <c r="T21" s="1"/>
      <c r="U21" s="1"/>
      <c r="V21" s="1"/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/>
      <c r="AC21" s="1">
        <v>1</v>
      </c>
      <c r="AD21" s="1"/>
      <c r="AE21" s="1"/>
      <c r="AF21" s="1"/>
      <c r="AG21" s="1">
        <v>3</v>
      </c>
    </row>
    <row r="22" spans="1:33">
      <c r="A22" s="232" t="s">
        <v>61</v>
      </c>
      <c r="B22" s="232">
        <v>45751</v>
      </c>
      <c r="C22" s="232" t="s">
        <v>565</v>
      </c>
      <c r="D22" s="232" t="s">
        <v>566</v>
      </c>
      <c r="E22" s="150" t="s">
        <v>567</v>
      </c>
      <c r="F22" s="232" t="s">
        <v>640</v>
      </c>
      <c r="G22" s="232" t="s">
        <v>564</v>
      </c>
      <c r="H22" s="232" t="s">
        <v>755</v>
      </c>
      <c r="I22" s="232" t="s">
        <v>119</v>
      </c>
      <c r="J22" s="233">
        <v>46093</v>
      </c>
      <c r="K22" s="234">
        <v>0.64583333333333337</v>
      </c>
      <c r="S22" s="211">
        <v>46091</v>
      </c>
      <c r="T22" s="1"/>
      <c r="U22" s="1"/>
      <c r="V22" s="1"/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/>
      <c r="AC22" s="1">
        <v>1</v>
      </c>
      <c r="AD22" s="1"/>
      <c r="AE22" s="1"/>
      <c r="AF22" s="1"/>
      <c r="AG22" s="1">
        <v>3</v>
      </c>
    </row>
    <row r="23" spans="1:33">
      <c r="A23" s="232" t="s">
        <v>61</v>
      </c>
      <c r="B23" s="232">
        <v>45847</v>
      </c>
      <c r="C23" s="232" t="s">
        <v>730</v>
      </c>
      <c r="D23" s="113" t="s">
        <v>731</v>
      </c>
      <c r="E23" s="151" t="s">
        <v>732</v>
      </c>
      <c r="F23" s="232" t="s">
        <v>640</v>
      </c>
      <c r="G23" s="115" t="s">
        <v>492</v>
      </c>
      <c r="H23" s="232" t="s">
        <v>755</v>
      </c>
      <c r="I23" s="232" t="s">
        <v>119</v>
      </c>
      <c r="J23" s="233">
        <v>46093</v>
      </c>
      <c r="K23" s="234">
        <v>0.41666666666666669</v>
      </c>
      <c r="S23" s="166" t="s">
        <v>640</v>
      </c>
      <c r="T23" s="1">
        <v>1</v>
      </c>
      <c r="U23" s="1">
        <v>1</v>
      </c>
      <c r="V23" s="1">
        <v>2</v>
      </c>
      <c r="W23" s="1">
        <v>1</v>
      </c>
      <c r="X23" s="1">
        <v>3</v>
      </c>
      <c r="Y23" s="1"/>
      <c r="Z23" s="1"/>
      <c r="AA23" s="1">
        <v>1</v>
      </c>
      <c r="AB23" s="1">
        <v>1</v>
      </c>
      <c r="AC23" s="1">
        <v>2</v>
      </c>
      <c r="AD23" s="1">
        <v>1</v>
      </c>
      <c r="AE23" s="1">
        <v>1</v>
      </c>
      <c r="AF23" s="1">
        <v>2</v>
      </c>
      <c r="AG23" s="1">
        <v>8</v>
      </c>
    </row>
    <row r="24" spans="1:33">
      <c r="A24" s="232" t="s">
        <v>61</v>
      </c>
      <c r="B24" s="232">
        <v>45749</v>
      </c>
      <c r="C24" s="232" t="s">
        <v>62</v>
      </c>
      <c r="D24" s="232" t="s">
        <v>63</v>
      </c>
      <c r="E24" s="150" t="s">
        <v>64</v>
      </c>
      <c r="F24" s="232" t="s">
        <v>67</v>
      </c>
      <c r="G24" s="232" t="s">
        <v>68</v>
      </c>
      <c r="H24" s="232" t="s">
        <v>755</v>
      </c>
      <c r="I24" s="232" t="s">
        <v>70</v>
      </c>
      <c r="J24" s="233">
        <v>46093</v>
      </c>
      <c r="K24" s="234">
        <v>0.4375</v>
      </c>
      <c r="S24" s="211">
        <v>46093</v>
      </c>
      <c r="T24" s="1">
        <v>1</v>
      </c>
      <c r="U24" s="1">
        <v>1</v>
      </c>
      <c r="V24" s="1">
        <v>1</v>
      </c>
      <c r="W24" s="1"/>
      <c r="X24" s="1">
        <v>1</v>
      </c>
      <c r="Y24" s="1"/>
      <c r="Z24" s="1"/>
      <c r="AA24" s="1">
        <v>1</v>
      </c>
      <c r="AB24" s="1">
        <v>1</v>
      </c>
      <c r="AC24" s="1">
        <v>2</v>
      </c>
      <c r="AD24" s="1">
        <v>1</v>
      </c>
      <c r="AE24" s="1">
        <v>1</v>
      </c>
      <c r="AF24" s="1">
        <v>2</v>
      </c>
      <c r="AG24" s="1">
        <v>6</v>
      </c>
    </row>
    <row r="25" spans="1:33">
      <c r="A25" s="232" t="s">
        <v>61</v>
      </c>
      <c r="B25" s="232">
        <v>45700</v>
      </c>
      <c r="C25" s="232" t="s">
        <v>392</v>
      </c>
      <c r="D25" s="232" t="s">
        <v>393</v>
      </c>
      <c r="E25" s="150" t="s">
        <v>394</v>
      </c>
      <c r="F25" s="232" t="s">
        <v>363</v>
      </c>
      <c r="G25" s="232" t="s">
        <v>364</v>
      </c>
      <c r="H25" s="232" t="s">
        <v>755</v>
      </c>
      <c r="I25" s="232" t="s">
        <v>70</v>
      </c>
      <c r="J25" s="233">
        <v>46093</v>
      </c>
      <c r="K25" s="234">
        <v>0.625</v>
      </c>
      <c r="S25" s="211">
        <v>46094</v>
      </c>
      <c r="T25" s="1"/>
      <c r="U25" s="1"/>
      <c r="V25" s="1">
        <v>1</v>
      </c>
      <c r="W25" s="1">
        <v>1</v>
      </c>
      <c r="X25" s="1">
        <v>2</v>
      </c>
      <c r="Y25" s="1"/>
      <c r="Z25" s="1"/>
      <c r="AA25" s="1"/>
      <c r="AB25" s="1"/>
      <c r="AC25" s="1"/>
      <c r="AD25" s="1"/>
      <c r="AE25" s="1"/>
      <c r="AF25" s="1"/>
      <c r="AG25" s="1">
        <v>2</v>
      </c>
    </row>
    <row r="26" spans="1:33">
      <c r="A26" s="235" t="s">
        <v>61</v>
      </c>
      <c r="B26" s="235">
        <v>45703</v>
      </c>
      <c r="C26" s="235" t="s">
        <v>111</v>
      </c>
      <c r="D26" s="235" t="s">
        <v>112</v>
      </c>
      <c r="E26" s="236" t="s">
        <v>113</v>
      </c>
      <c r="F26" s="235" t="s">
        <v>67</v>
      </c>
      <c r="G26" s="235" t="s">
        <v>93</v>
      </c>
      <c r="H26" s="235" t="s">
        <v>755</v>
      </c>
      <c r="I26" s="235" t="s">
        <v>70</v>
      </c>
      <c r="J26" s="237">
        <v>46094</v>
      </c>
      <c r="K26" s="238">
        <v>0.58333333333333337</v>
      </c>
      <c r="S26" s="137" t="s">
        <v>753</v>
      </c>
      <c r="T26" s="1">
        <v>3</v>
      </c>
      <c r="U26" s="1">
        <v>3</v>
      </c>
      <c r="V26" s="1">
        <v>4</v>
      </c>
      <c r="W26" s="1">
        <v>4</v>
      </c>
      <c r="X26" s="1">
        <v>8</v>
      </c>
      <c r="Y26" s="1">
        <v>2</v>
      </c>
      <c r="Z26" s="1">
        <v>2</v>
      </c>
      <c r="AA26" s="1">
        <v>4</v>
      </c>
      <c r="AB26" s="1">
        <v>4</v>
      </c>
      <c r="AC26" s="1">
        <v>8</v>
      </c>
      <c r="AD26" s="1">
        <v>3</v>
      </c>
      <c r="AE26" s="1">
        <v>2</v>
      </c>
      <c r="AF26" s="1">
        <v>5</v>
      </c>
      <c r="AG26" s="1">
        <v>26</v>
      </c>
    </row>
    <row r="27" spans="1:33">
      <c r="A27" s="235" t="s">
        <v>61</v>
      </c>
      <c r="B27" s="235">
        <v>45958</v>
      </c>
      <c r="C27" s="251" t="s">
        <v>514</v>
      </c>
      <c r="D27" s="235" t="s">
        <v>515</v>
      </c>
      <c r="E27" s="239" t="s">
        <v>516</v>
      </c>
      <c r="F27" s="235" t="s">
        <v>640</v>
      </c>
      <c r="G27" s="235" t="s">
        <v>492</v>
      </c>
      <c r="H27" s="235" t="s">
        <v>755</v>
      </c>
      <c r="I27" s="235" t="s">
        <v>119</v>
      </c>
      <c r="J27" s="237">
        <v>46094</v>
      </c>
      <c r="K27" s="238">
        <v>0.41666666666666669</v>
      </c>
    </row>
    <row r="28" spans="1:33">
      <c r="A28" s="235" t="s">
        <v>61</v>
      </c>
      <c r="B28" s="235">
        <v>45961</v>
      </c>
      <c r="C28" s="235" t="s">
        <v>508</v>
      </c>
      <c r="D28" s="235" t="s">
        <v>509</v>
      </c>
      <c r="E28" s="252" t="s">
        <v>510</v>
      </c>
      <c r="F28" s="235" t="s">
        <v>640</v>
      </c>
      <c r="G28" s="235" t="s">
        <v>492</v>
      </c>
      <c r="H28" s="235" t="s">
        <v>755</v>
      </c>
      <c r="I28" s="235" t="s">
        <v>119</v>
      </c>
      <c r="J28" s="237">
        <v>46094</v>
      </c>
      <c r="K28" s="238">
        <v>0.4375</v>
      </c>
    </row>
    <row r="29" spans="1:33" hidden="1">
      <c r="A29" s="79" t="s">
        <v>61</v>
      </c>
      <c r="B29" s="79"/>
      <c r="C29" s="79" t="s">
        <v>714</v>
      </c>
      <c r="D29" s="79" t="s">
        <v>774</v>
      </c>
      <c r="E29" s="150" t="s">
        <v>715</v>
      </c>
      <c r="F29" s="79" t="s">
        <v>117</v>
      </c>
      <c r="G29" s="79" t="s">
        <v>137</v>
      </c>
      <c r="H29" s="82"/>
      <c r="I29" s="82" t="s">
        <v>119</v>
      </c>
      <c r="J29" s="82"/>
      <c r="K29" s="210"/>
    </row>
    <row r="30" spans="1:33" hidden="1">
      <c r="A30" s="79" t="s">
        <v>61</v>
      </c>
      <c r="B30" s="79"/>
      <c r="C30" s="79" t="s">
        <v>484</v>
      </c>
      <c r="D30" s="79" t="s">
        <v>485</v>
      </c>
      <c r="E30" s="150" t="s">
        <v>486</v>
      </c>
      <c r="F30" s="79" t="s">
        <v>640</v>
      </c>
      <c r="G30" s="79" t="s">
        <v>488</v>
      </c>
      <c r="H30" s="82"/>
      <c r="I30" s="82" t="s">
        <v>119</v>
      </c>
      <c r="J30" s="82"/>
      <c r="K30" s="210"/>
    </row>
    <row r="31" spans="1:33" hidden="1">
      <c r="A31" s="79" t="s">
        <v>61</v>
      </c>
      <c r="B31" s="79"/>
      <c r="C31" s="79" t="s">
        <v>588</v>
      </c>
      <c r="D31" s="79" t="s">
        <v>589</v>
      </c>
      <c r="E31" s="150" t="s">
        <v>590</v>
      </c>
      <c r="F31" s="79" t="s">
        <v>640</v>
      </c>
      <c r="G31" s="79" t="s">
        <v>492</v>
      </c>
      <c r="H31" s="82"/>
      <c r="I31" s="82" t="s">
        <v>119</v>
      </c>
      <c r="J31" s="82"/>
      <c r="K31" s="210"/>
    </row>
    <row r="32" spans="1:33" hidden="1">
      <c r="A32" s="79" t="s">
        <v>61</v>
      </c>
      <c r="B32" s="79"/>
      <c r="C32" s="79" t="s">
        <v>704</v>
      </c>
      <c r="D32" s="79" t="s">
        <v>705</v>
      </c>
      <c r="E32" s="150" t="s">
        <v>706</v>
      </c>
      <c r="F32" s="79" t="s">
        <v>117</v>
      </c>
      <c r="G32" s="79" t="s">
        <v>137</v>
      </c>
      <c r="H32" s="82"/>
      <c r="I32" s="82" t="s">
        <v>119</v>
      </c>
      <c r="J32" s="82"/>
      <c r="K32" s="210"/>
    </row>
    <row r="33" spans="1:11" hidden="1">
      <c r="A33" s="79" t="s">
        <v>61</v>
      </c>
      <c r="B33" s="79"/>
      <c r="C33" s="79" t="s">
        <v>568</v>
      </c>
      <c r="D33" s="79" t="s">
        <v>569</v>
      </c>
      <c r="E33" s="150" t="s">
        <v>570</v>
      </c>
      <c r="F33" s="79" t="s">
        <v>640</v>
      </c>
      <c r="G33" s="79" t="s">
        <v>488</v>
      </c>
      <c r="H33" s="82"/>
      <c r="I33" s="82" t="s">
        <v>119</v>
      </c>
      <c r="J33" s="82"/>
      <c r="K33" s="210"/>
    </row>
    <row r="34" spans="1:11" hidden="1">
      <c r="A34" s="79" t="s">
        <v>61</v>
      </c>
      <c r="B34" s="79"/>
      <c r="C34" s="79" t="s">
        <v>318</v>
      </c>
      <c r="D34" s="79" t="s">
        <v>319</v>
      </c>
      <c r="E34" s="150" t="s">
        <v>320</v>
      </c>
      <c r="F34" s="79" t="s">
        <v>317</v>
      </c>
      <c r="G34" s="79" t="s">
        <v>143</v>
      </c>
      <c r="H34" s="82"/>
      <c r="I34" s="82" t="s">
        <v>119</v>
      </c>
      <c r="J34" s="82"/>
      <c r="K34" s="210"/>
    </row>
    <row r="35" spans="1:11" hidden="1">
      <c r="A35" s="79" t="s">
        <v>61</v>
      </c>
      <c r="B35" s="79"/>
      <c r="C35" s="79" t="s">
        <v>121</v>
      </c>
      <c r="D35" s="79" t="s">
        <v>122</v>
      </c>
      <c r="E35" s="150" t="s">
        <v>123</v>
      </c>
      <c r="F35" s="79" t="s">
        <v>117</v>
      </c>
      <c r="G35" s="79" t="s">
        <v>118</v>
      </c>
      <c r="H35" s="82"/>
      <c r="I35" s="82" t="s">
        <v>119</v>
      </c>
      <c r="J35" s="82"/>
      <c r="K35" s="210"/>
    </row>
    <row r="36" spans="1:11" hidden="1">
      <c r="A36" s="79" t="s">
        <v>61</v>
      </c>
      <c r="B36" s="79"/>
      <c r="C36" s="79" t="s">
        <v>257</v>
      </c>
      <c r="D36" s="79" t="s">
        <v>258</v>
      </c>
      <c r="E36" s="150" t="s">
        <v>259</v>
      </c>
      <c r="F36" s="79" t="s">
        <v>613</v>
      </c>
      <c r="G36" s="79" t="s">
        <v>204</v>
      </c>
      <c r="H36" s="82"/>
      <c r="I36" s="82" t="s">
        <v>70</v>
      </c>
      <c r="J36" s="82"/>
      <c r="K36" s="210"/>
    </row>
    <row r="37" spans="1:11" hidden="1">
      <c r="A37" s="79" t="s">
        <v>61</v>
      </c>
      <c r="B37" s="79"/>
      <c r="C37" s="79" t="s">
        <v>708</v>
      </c>
      <c r="D37" s="79" t="s">
        <v>709</v>
      </c>
      <c r="E37" s="150" t="s">
        <v>710</v>
      </c>
      <c r="F37" s="79" t="s">
        <v>266</v>
      </c>
      <c r="G37" s="79" t="s">
        <v>267</v>
      </c>
      <c r="H37" s="82" t="s">
        <v>711</v>
      </c>
      <c r="I37" s="82" t="s">
        <v>119</v>
      </c>
      <c r="J37" s="82"/>
      <c r="K37" s="210"/>
    </row>
    <row r="38" spans="1:11" hidden="1">
      <c r="A38" s="79" t="s">
        <v>61</v>
      </c>
      <c r="B38" s="79"/>
      <c r="C38" s="79" t="s">
        <v>554</v>
      </c>
      <c r="D38" s="79" t="s">
        <v>555</v>
      </c>
      <c r="E38" s="150" t="s">
        <v>556</v>
      </c>
      <c r="F38" s="79" t="s">
        <v>640</v>
      </c>
      <c r="G38" s="79" t="s">
        <v>488</v>
      </c>
      <c r="H38" s="82"/>
      <c r="I38" s="82" t="s">
        <v>119</v>
      </c>
      <c r="J38" s="82"/>
      <c r="K38" s="210"/>
    </row>
    <row r="39" spans="1:11" hidden="1">
      <c r="A39" s="79" t="s">
        <v>61</v>
      </c>
      <c r="B39" s="79">
        <v>45449</v>
      </c>
      <c r="C39" s="79" t="s">
        <v>98</v>
      </c>
      <c r="D39" s="79" t="s">
        <v>99</v>
      </c>
      <c r="E39" s="150" t="s">
        <v>100</v>
      </c>
      <c r="F39" s="79" t="s">
        <v>363</v>
      </c>
      <c r="G39" s="79" t="s">
        <v>364</v>
      </c>
      <c r="H39" s="82"/>
      <c r="I39" s="82" t="s">
        <v>70</v>
      </c>
      <c r="J39" s="82"/>
      <c r="K39" s="210"/>
    </row>
    <row r="40" spans="1:11" hidden="1">
      <c r="A40" s="79" t="s">
        <v>61</v>
      </c>
      <c r="B40" s="79" t="e">
        <v>#N/A</v>
      </c>
      <c r="C40" s="113" t="s">
        <v>337</v>
      </c>
      <c r="D40" s="119" t="s">
        <v>337</v>
      </c>
      <c r="E40" s="151" t="s">
        <v>338</v>
      </c>
      <c r="F40" s="79" t="s">
        <v>317</v>
      </c>
      <c r="G40" s="115" t="s">
        <v>336</v>
      </c>
      <c r="H40" s="82"/>
      <c r="I40" s="82" t="s">
        <v>119</v>
      </c>
      <c r="J40" s="82"/>
      <c r="K40" s="210"/>
    </row>
    <row r="41" spans="1:11" hidden="1">
      <c r="A41" s="79" t="s">
        <v>61</v>
      </c>
      <c r="B41" s="79">
        <v>45471</v>
      </c>
      <c r="C41" s="79" t="s">
        <v>314</v>
      </c>
      <c r="D41" s="79" t="s">
        <v>315</v>
      </c>
      <c r="E41" s="150" t="s">
        <v>316</v>
      </c>
      <c r="F41" s="79" t="s">
        <v>317</v>
      </c>
      <c r="G41" s="79" t="s">
        <v>143</v>
      </c>
      <c r="H41" s="82"/>
      <c r="I41" s="82" t="s">
        <v>119</v>
      </c>
      <c r="J41" s="82"/>
      <c r="K41" s="210"/>
    </row>
    <row r="42" spans="1:11" hidden="1">
      <c r="A42" s="79" t="s">
        <v>61</v>
      </c>
      <c r="B42" s="79">
        <v>44639</v>
      </c>
      <c r="C42" s="79" t="s">
        <v>348</v>
      </c>
      <c r="D42" s="79" t="s">
        <v>349</v>
      </c>
      <c r="E42" s="150" t="s">
        <v>350</v>
      </c>
      <c r="F42" s="79" t="s">
        <v>317</v>
      </c>
      <c r="G42" s="79" t="s">
        <v>336</v>
      </c>
      <c r="H42" s="82"/>
      <c r="I42" s="82" t="s">
        <v>119</v>
      </c>
      <c r="J42" s="82"/>
      <c r="K42" s="210"/>
    </row>
    <row r="43" spans="1:11" hidden="1">
      <c r="A43" s="79" t="s">
        <v>61</v>
      </c>
      <c r="B43" s="79">
        <v>45754</v>
      </c>
      <c r="C43" s="79" t="s">
        <v>722</v>
      </c>
      <c r="D43" s="79" t="s">
        <v>722</v>
      </c>
      <c r="E43" s="150" t="s">
        <v>723</v>
      </c>
      <c r="F43" s="79" t="s">
        <v>317</v>
      </c>
      <c r="G43" s="79" t="s">
        <v>143</v>
      </c>
      <c r="H43" s="82"/>
      <c r="I43" s="82" t="s">
        <v>119</v>
      </c>
      <c r="J43" s="82"/>
      <c r="K43" s="210"/>
    </row>
    <row r="44" spans="1:11" hidden="1">
      <c r="A44" s="79" t="s">
        <v>61</v>
      </c>
      <c r="B44" s="79">
        <v>4529</v>
      </c>
      <c r="C44" s="79" t="s">
        <v>357</v>
      </c>
      <c r="D44" s="79" t="s">
        <v>358</v>
      </c>
      <c r="E44" s="150" t="s">
        <v>359</v>
      </c>
      <c r="F44" s="79" t="s">
        <v>317</v>
      </c>
      <c r="G44" s="79" t="s">
        <v>336</v>
      </c>
      <c r="H44" s="82"/>
      <c r="I44" s="82" t="s">
        <v>119</v>
      </c>
      <c r="J44" s="82"/>
      <c r="K44" s="210"/>
    </row>
    <row r="45" spans="1:11" hidden="1">
      <c r="A45" s="79" t="s">
        <v>61</v>
      </c>
      <c r="B45" s="79" t="e">
        <v>#N/A</v>
      </c>
      <c r="C45" s="113" t="s">
        <v>712</v>
      </c>
      <c r="D45" s="119" t="s">
        <v>775</v>
      </c>
      <c r="E45" s="152" t="s">
        <v>713</v>
      </c>
      <c r="F45" s="79" t="s">
        <v>317</v>
      </c>
      <c r="G45" s="115" t="s">
        <v>143</v>
      </c>
      <c r="H45" s="82"/>
      <c r="I45" s="82" t="s">
        <v>119</v>
      </c>
      <c r="J45" s="82"/>
      <c r="K45" s="210"/>
    </row>
    <row r="46" spans="1:11" hidden="1">
      <c r="A46" s="79" t="s">
        <v>61</v>
      </c>
      <c r="B46" s="79">
        <v>45293</v>
      </c>
      <c r="C46" s="79" t="s">
        <v>321</v>
      </c>
      <c r="D46" s="79" t="s">
        <v>322</v>
      </c>
      <c r="E46" s="150" t="s">
        <v>323</v>
      </c>
      <c r="F46" s="79" t="s">
        <v>317</v>
      </c>
      <c r="G46" s="79" t="s">
        <v>143</v>
      </c>
      <c r="H46" s="82"/>
      <c r="I46" s="82" t="s">
        <v>119</v>
      </c>
      <c r="J46" s="82"/>
      <c r="K46" s="210"/>
    </row>
    <row r="47" spans="1:11" hidden="1">
      <c r="A47" s="79" t="s">
        <v>61</v>
      </c>
      <c r="B47" s="79">
        <v>44953</v>
      </c>
      <c r="C47" s="79" t="s">
        <v>354</v>
      </c>
      <c r="D47" s="79" t="s">
        <v>355</v>
      </c>
      <c r="E47" s="150" t="s">
        <v>356</v>
      </c>
      <c r="F47" s="79" t="s">
        <v>317</v>
      </c>
      <c r="G47" s="79" t="s">
        <v>336</v>
      </c>
      <c r="H47" s="82"/>
      <c r="I47" s="82" t="s">
        <v>119</v>
      </c>
      <c r="J47" s="82"/>
      <c r="K47" s="210"/>
    </row>
    <row r="48" spans="1:11" hidden="1">
      <c r="A48" s="79" t="s">
        <v>61</v>
      </c>
      <c r="B48" s="79">
        <v>45197</v>
      </c>
      <c r="C48" s="79" t="s">
        <v>311</v>
      </c>
      <c r="D48" s="79" t="s">
        <v>312</v>
      </c>
      <c r="E48" s="150" t="s">
        <v>313</v>
      </c>
      <c r="F48" s="79" t="s">
        <v>266</v>
      </c>
      <c r="G48" s="79" t="s">
        <v>267</v>
      </c>
      <c r="H48" s="82"/>
      <c r="I48" s="82" t="s">
        <v>119</v>
      </c>
      <c r="J48" s="82"/>
      <c r="K48" s="210"/>
    </row>
    <row r="49" spans="1:11" hidden="1">
      <c r="A49" s="79" t="s">
        <v>61</v>
      </c>
      <c r="B49" s="79">
        <v>45294</v>
      </c>
      <c r="C49" s="79" t="s">
        <v>114</v>
      </c>
      <c r="D49" s="79" t="s">
        <v>115</v>
      </c>
      <c r="E49" s="150" t="s">
        <v>116</v>
      </c>
      <c r="F49" s="79" t="s">
        <v>117</v>
      </c>
      <c r="G49" s="79" t="s">
        <v>118</v>
      </c>
      <c r="H49" s="82"/>
      <c r="I49" s="82" t="s">
        <v>119</v>
      </c>
      <c r="J49" s="82"/>
      <c r="K49" s="210"/>
    </row>
    <row r="50" spans="1:11" hidden="1">
      <c r="A50" s="79" t="s">
        <v>61</v>
      </c>
      <c r="B50" s="79">
        <v>4522</v>
      </c>
      <c r="C50" s="79" t="s">
        <v>292</v>
      </c>
      <c r="D50" s="79" t="s">
        <v>293</v>
      </c>
      <c r="E50" s="150" t="s">
        <v>294</v>
      </c>
      <c r="F50" s="79" t="s">
        <v>266</v>
      </c>
      <c r="G50" s="79" t="s">
        <v>267</v>
      </c>
      <c r="H50" s="82"/>
      <c r="I50" s="82" t="s">
        <v>119</v>
      </c>
      <c r="J50" s="82"/>
      <c r="K50" s="210"/>
    </row>
    <row r="51" spans="1:11" hidden="1">
      <c r="A51" s="79" t="s">
        <v>61</v>
      </c>
      <c r="B51" s="79">
        <v>45327</v>
      </c>
      <c r="C51" s="79" t="s">
        <v>298</v>
      </c>
      <c r="D51" s="79" t="s">
        <v>299</v>
      </c>
      <c r="E51" s="150" t="s">
        <v>300</v>
      </c>
      <c r="F51" s="79" t="s">
        <v>266</v>
      </c>
      <c r="G51" s="79" t="s">
        <v>267</v>
      </c>
      <c r="H51" s="82"/>
      <c r="I51" s="82" t="s">
        <v>119</v>
      </c>
      <c r="J51" s="82"/>
      <c r="K51" s="210"/>
    </row>
    <row r="52" spans="1:11" hidden="1">
      <c r="A52" s="79" t="s">
        <v>61</v>
      </c>
      <c r="B52" s="79">
        <v>4524</v>
      </c>
      <c r="C52" s="79" t="s">
        <v>130</v>
      </c>
      <c r="D52" s="79" t="s">
        <v>131</v>
      </c>
      <c r="E52" s="150" t="s">
        <v>132</v>
      </c>
      <c r="F52" s="79" t="s">
        <v>117</v>
      </c>
      <c r="G52" s="79" t="s">
        <v>118</v>
      </c>
      <c r="H52" s="82"/>
      <c r="I52" s="82" t="s">
        <v>119</v>
      </c>
      <c r="J52" s="82"/>
      <c r="K52" s="210"/>
    </row>
    <row r="53" spans="1:11" hidden="1">
      <c r="A53" s="79" t="s">
        <v>61</v>
      </c>
      <c r="B53" s="79">
        <v>44783</v>
      </c>
      <c r="C53" s="79" t="s">
        <v>197</v>
      </c>
      <c r="D53" s="79" t="s">
        <v>198</v>
      </c>
      <c r="E53" s="150" t="s">
        <v>199</v>
      </c>
      <c r="F53" s="79" t="s">
        <v>117</v>
      </c>
      <c r="G53" s="79" t="s">
        <v>137</v>
      </c>
      <c r="H53" s="82"/>
      <c r="I53" s="82" t="s">
        <v>119</v>
      </c>
      <c r="J53" s="82"/>
      <c r="K53" s="210"/>
    </row>
    <row r="54" spans="1:11" hidden="1">
      <c r="A54" s="79" t="s">
        <v>61</v>
      </c>
      <c r="B54" s="79">
        <v>4541</v>
      </c>
      <c r="C54" s="79" t="s">
        <v>141</v>
      </c>
      <c r="D54" s="79" t="s">
        <v>140</v>
      </c>
      <c r="E54" s="150" t="s">
        <v>142</v>
      </c>
      <c r="F54" s="79" t="s">
        <v>117</v>
      </c>
      <c r="G54" s="79" t="s">
        <v>137</v>
      </c>
      <c r="H54" s="82"/>
      <c r="I54" s="82" t="s">
        <v>119</v>
      </c>
      <c r="J54" s="82"/>
      <c r="K54" s="210"/>
    </row>
    <row r="55" spans="1:11" hidden="1">
      <c r="A55" s="79" t="s">
        <v>61</v>
      </c>
      <c r="B55" s="79">
        <v>45139</v>
      </c>
      <c r="C55" s="79" t="s">
        <v>144</v>
      </c>
      <c r="D55" s="79" t="s">
        <v>145</v>
      </c>
      <c r="E55" s="150" t="s">
        <v>146</v>
      </c>
      <c r="F55" s="79" t="s">
        <v>117</v>
      </c>
      <c r="G55" s="79" t="s">
        <v>137</v>
      </c>
      <c r="H55" s="82"/>
      <c r="I55" s="82" t="s">
        <v>119</v>
      </c>
      <c r="J55" s="82"/>
      <c r="K55" s="210"/>
    </row>
    <row r="56" spans="1:11" hidden="1">
      <c r="A56" s="79" t="s">
        <v>61</v>
      </c>
      <c r="B56" s="79">
        <v>45297</v>
      </c>
      <c r="C56" s="79" t="s">
        <v>148</v>
      </c>
      <c r="D56" s="79" t="s">
        <v>149</v>
      </c>
      <c r="E56" s="150" t="s">
        <v>150</v>
      </c>
      <c r="F56" s="79" t="s">
        <v>117</v>
      </c>
      <c r="G56" s="79" t="s">
        <v>137</v>
      </c>
      <c r="H56" s="82"/>
      <c r="I56" s="82" t="s">
        <v>119</v>
      </c>
      <c r="J56" s="82"/>
      <c r="K56" s="210"/>
    </row>
    <row r="57" spans="1:11" hidden="1">
      <c r="A57" s="79" t="s">
        <v>61</v>
      </c>
      <c r="B57" s="79">
        <v>45472</v>
      </c>
      <c r="C57" s="79" t="s">
        <v>333</v>
      </c>
      <c r="D57" s="79" t="s">
        <v>334</v>
      </c>
      <c r="E57" s="150" t="s">
        <v>335</v>
      </c>
      <c r="F57" s="79" t="s">
        <v>317</v>
      </c>
      <c r="G57" s="79" t="s">
        <v>336</v>
      </c>
      <c r="H57" s="82"/>
      <c r="I57" s="82" t="s">
        <v>119</v>
      </c>
      <c r="J57" s="82"/>
      <c r="K57" s="210"/>
    </row>
    <row r="58" spans="1:11" hidden="1">
      <c r="A58" s="79" t="s">
        <v>61</v>
      </c>
      <c r="B58" s="79">
        <v>4533</v>
      </c>
      <c r="C58" s="79" t="s">
        <v>340</v>
      </c>
      <c r="D58" s="79" t="s">
        <v>339</v>
      </c>
      <c r="E58" s="150" t="s">
        <v>341</v>
      </c>
      <c r="F58" s="79" t="s">
        <v>317</v>
      </c>
      <c r="G58" s="79" t="s">
        <v>336</v>
      </c>
      <c r="H58" s="82"/>
      <c r="I58" s="82" t="s">
        <v>119</v>
      </c>
      <c r="J58" s="82"/>
      <c r="K58" s="210"/>
    </row>
    <row r="59" spans="1:11" hidden="1">
      <c r="A59" s="79" t="s">
        <v>61</v>
      </c>
      <c r="B59" s="79">
        <v>44698</v>
      </c>
      <c r="C59" s="79" t="s">
        <v>342</v>
      </c>
      <c r="D59" s="79" t="s">
        <v>343</v>
      </c>
      <c r="E59" s="150" t="s">
        <v>344</v>
      </c>
      <c r="F59" s="79" t="s">
        <v>317</v>
      </c>
      <c r="G59" s="79" t="s">
        <v>336</v>
      </c>
      <c r="H59" s="82"/>
      <c r="I59" s="82" t="s">
        <v>119</v>
      </c>
      <c r="J59" s="82"/>
      <c r="K59" s="210"/>
    </row>
    <row r="60" spans="1:11" hidden="1">
      <c r="A60" s="79" t="s">
        <v>61</v>
      </c>
      <c r="B60" s="79">
        <v>4533</v>
      </c>
      <c r="C60" s="79" t="s">
        <v>345</v>
      </c>
      <c r="D60" s="79" t="s">
        <v>346</v>
      </c>
      <c r="E60" s="150" t="s">
        <v>347</v>
      </c>
      <c r="F60" s="79" t="s">
        <v>317</v>
      </c>
      <c r="G60" s="79" t="s">
        <v>336</v>
      </c>
      <c r="H60" s="82"/>
      <c r="I60" s="82" t="s">
        <v>119</v>
      </c>
      <c r="J60" s="82"/>
      <c r="K60" s="210"/>
    </row>
    <row r="61" spans="1:11" hidden="1">
      <c r="A61" s="79" t="s">
        <v>61</v>
      </c>
      <c r="B61" s="79">
        <v>4554</v>
      </c>
      <c r="C61" s="79" t="s">
        <v>742</v>
      </c>
      <c r="D61" s="79" t="s">
        <v>743</v>
      </c>
      <c r="E61" s="150" t="s">
        <v>744</v>
      </c>
      <c r="F61" s="79" t="s">
        <v>317</v>
      </c>
      <c r="G61" s="79" t="s">
        <v>336</v>
      </c>
      <c r="H61" s="82"/>
      <c r="I61" s="82" t="s">
        <v>119</v>
      </c>
      <c r="J61" s="82"/>
      <c r="K61" s="210"/>
    </row>
    <row r="62" spans="1:11" hidden="1">
      <c r="A62" s="79" t="s">
        <v>61</v>
      </c>
      <c r="B62" s="79">
        <v>45315</v>
      </c>
      <c r="C62" s="79" t="s">
        <v>719</v>
      </c>
      <c r="D62" s="79" t="s">
        <v>720</v>
      </c>
      <c r="E62" s="150" t="s">
        <v>721</v>
      </c>
      <c r="F62" s="79" t="s">
        <v>317</v>
      </c>
      <c r="G62" s="79" t="s">
        <v>336</v>
      </c>
      <c r="H62" s="82"/>
      <c r="I62" s="82" t="s">
        <v>119</v>
      </c>
      <c r="J62" s="82"/>
      <c r="K62" s="210"/>
    </row>
    <row r="63" spans="1:11" hidden="1">
      <c r="A63" s="79" t="s">
        <v>61</v>
      </c>
      <c r="B63" s="79">
        <v>4572</v>
      </c>
      <c r="C63" s="79" t="s">
        <v>210</v>
      </c>
      <c r="D63" s="79" t="s">
        <v>211</v>
      </c>
      <c r="E63" s="150" t="s">
        <v>212</v>
      </c>
      <c r="F63" s="79" t="s">
        <v>613</v>
      </c>
      <c r="G63" s="79" t="s">
        <v>204</v>
      </c>
      <c r="H63" s="82"/>
      <c r="I63" s="82" t="s">
        <v>70</v>
      </c>
      <c r="J63" s="82"/>
      <c r="K63" s="210"/>
    </row>
    <row r="64" spans="1:11" hidden="1">
      <c r="A64" s="79" t="s">
        <v>61</v>
      </c>
      <c r="B64" s="79">
        <v>44951</v>
      </c>
      <c r="C64" s="79" t="s">
        <v>206</v>
      </c>
      <c r="D64" s="79" t="s">
        <v>207</v>
      </c>
      <c r="E64" s="150" t="s">
        <v>208</v>
      </c>
      <c r="F64" s="79" t="s">
        <v>613</v>
      </c>
      <c r="G64" s="79" t="s">
        <v>204</v>
      </c>
      <c r="H64" s="82"/>
      <c r="I64" s="82" t="s">
        <v>70</v>
      </c>
      <c r="J64" s="82"/>
      <c r="K64" s="210"/>
    </row>
    <row r="65" spans="1:11" hidden="1">
      <c r="A65" s="79" t="s">
        <v>61</v>
      </c>
      <c r="B65" s="79">
        <v>45516</v>
      </c>
      <c r="C65" s="79" t="s">
        <v>222</v>
      </c>
      <c r="D65" s="79" t="s">
        <v>223</v>
      </c>
      <c r="E65" s="150" t="s">
        <v>224</v>
      </c>
      <c r="F65" s="79" t="s">
        <v>613</v>
      </c>
      <c r="G65" s="79" t="s">
        <v>204</v>
      </c>
      <c r="H65" s="82"/>
      <c r="I65" s="82" t="s">
        <v>70</v>
      </c>
      <c r="J65" s="82"/>
      <c r="K65" s="210"/>
    </row>
    <row r="66" spans="1:11" hidden="1">
      <c r="A66" s="79" t="s">
        <v>61</v>
      </c>
      <c r="B66" s="79">
        <v>44631</v>
      </c>
      <c r="C66" s="79" t="s">
        <v>748</v>
      </c>
      <c r="D66" s="79" t="s">
        <v>749</v>
      </c>
      <c r="E66" s="150" t="s">
        <v>750</v>
      </c>
      <c r="F66" s="79" t="s">
        <v>613</v>
      </c>
      <c r="G66" s="79" t="s">
        <v>204</v>
      </c>
      <c r="H66" s="82"/>
      <c r="I66" s="82" t="s">
        <v>70</v>
      </c>
      <c r="J66" s="82"/>
      <c r="K66" s="210"/>
    </row>
    <row r="67" spans="1:11" hidden="1">
      <c r="A67" s="79" t="s">
        <v>61</v>
      </c>
      <c r="B67" s="79">
        <v>44683</v>
      </c>
      <c r="C67" s="79" t="s">
        <v>225</v>
      </c>
      <c r="D67" s="79" t="s">
        <v>226</v>
      </c>
      <c r="E67" s="150" t="s">
        <v>227</v>
      </c>
      <c r="F67" s="79" t="s">
        <v>613</v>
      </c>
      <c r="G67" s="79" t="s">
        <v>204</v>
      </c>
      <c r="H67" s="82"/>
      <c r="I67" s="82" t="s">
        <v>70</v>
      </c>
      <c r="J67" s="82"/>
      <c r="K67" s="210"/>
    </row>
    <row r="68" spans="1:11" hidden="1">
      <c r="A68" s="79" t="s">
        <v>61</v>
      </c>
      <c r="B68" s="79">
        <v>45324</v>
      </c>
      <c r="C68" s="79" t="s">
        <v>228</v>
      </c>
      <c r="D68" s="79" t="s">
        <v>229</v>
      </c>
      <c r="E68" s="150" t="s">
        <v>230</v>
      </c>
      <c r="F68" s="79" t="s">
        <v>613</v>
      </c>
      <c r="G68" s="79" t="s">
        <v>204</v>
      </c>
      <c r="H68" s="82"/>
      <c r="I68" s="82" t="s">
        <v>70</v>
      </c>
      <c r="J68" s="82"/>
      <c r="K68" s="210"/>
    </row>
    <row r="69" spans="1:11" hidden="1">
      <c r="A69" s="79" t="s">
        <v>61</v>
      </c>
      <c r="B69" s="79">
        <v>45134</v>
      </c>
      <c r="C69" s="79" t="s">
        <v>234</v>
      </c>
      <c r="D69" s="79" t="s">
        <v>235</v>
      </c>
      <c r="E69" s="150" t="s">
        <v>236</v>
      </c>
      <c r="F69" s="79" t="s">
        <v>613</v>
      </c>
      <c r="G69" s="79" t="s">
        <v>204</v>
      </c>
      <c r="H69" s="82"/>
      <c r="I69" s="82" t="s">
        <v>70</v>
      </c>
      <c r="J69" s="82"/>
      <c r="K69" s="210"/>
    </row>
    <row r="70" spans="1:11" hidden="1">
      <c r="A70" s="79" t="s">
        <v>61</v>
      </c>
      <c r="B70" s="79">
        <v>4521</v>
      </c>
      <c r="C70" s="79" t="s">
        <v>239</v>
      </c>
      <c r="D70" s="79" t="s">
        <v>240</v>
      </c>
      <c r="E70" s="150" t="s">
        <v>241</v>
      </c>
      <c r="F70" s="79" t="s">
        <v>613</v>
      </c>
      <c r="G70" s="79" t="s">
        <v>204</v>
      </c>
      <c r="H70" s="82"/>
      <c r="I70" s="82" t="s">
        <v>70</v>
      </c>
      <c r="J70" s="82"/>
      <c r="K70" s="210"/>
    </row>
    <row r="71" spans="1:11" hidden="1">
      <c r="A71" s="79" t="s">
        <v>61</v>
      </c>
      <c r="B71" s="79">
        <v>45491</v>
      </c>
      <c r="C71" s="79" t="s">
        <v>242</v>
      </c>
      <c r="D71" s="79" t="s">
        <v>243</v>
      </c>
      <c r="E71" s="150" t="s">
        <v>244</v>
      </c>
      <c r="F71" s="79" t="s">
        <v>613</v>
      </c>
      <c r="G71" s="79" t="s">
        <v>204</v>
      </c>
      <c r="H71" s="82"/>
      <c r="I71" s="82" t="s">
        <v>70</v>
      </c>
      <c r="J71" s="82"/>
      <c r="K71" s="210"/>
    </row>
    <row r="72" spans="1:11" hidden="1">
      <c r="A72" s="79" t="s">
        <v>61</v>
      </c>
      <c r="B72" s="79">
        <v>44694</v>
      </c>
      <c r="C72" s="79" t="s">
        <v>745</v>
      </c>
      <c r="D72" s="79" t="s">
        <v>746</v>
      </c>
      <c r="E72" s="150" t="s">
        <v>747</v>
      </c>
      <c r="F72" s="79" t="s">
        <v>613</v>
      </c>
      <c r="G72" s="79" t="s">
        <v>204</v>
      </c>
      <c r="H72" s="82"/>
      <c r="I72" s="82" t="s">
        <v>70</v>
      </c>
      <c r="J72" s="82"/>
      <c r="K72" s="210"/>
    </row>
    <row r="73" spans="1:11" hidden="1">
      <c r="A73" s="79" t="s">
        <v>61</v>
      </c>
      <c r="B73" s="79">
        <v>44875</v>
      </c>
      <c r="C73" s="79" t="s">
        <v>260</v>
      </c>
      <c r="D73" s="79" t="s">
        <v>261</v>
      </c>
      <c r="E73" s="150" t="s">
        <v>262</v>
      </c>
      <c r="F73" s="79" t="s">
        <v>613</v>
      </c>
      <c r="G73" s="79" t="s">
        <v>204</v>
      </c>
      <c r="H73" s="82"/>
      <c r="I73" s="82" t="s">
        <v>70</v>
      </c>
      <c r="J73" s="82"/>
      <c r="K73" s="210"/>
    </row>
    <row r="74" spans="1:11" hidden="1">
      <c r="A74" s="79" t="s">
        <v>61</v>
      </c>
      <c r="B74" s="79">
        <v>45135</v>
      </c>
      <c r="C74" s="79" t="s">
        <v>428</v>
      </c>
      <c r="D74" s="79" t="s">
        <v>429</v>
      </c>
      <c r="E74" s="150" t="s">
        <v>430</v>
      </c>
      <c r="F74" s="79" t="s">
        <v>414</v>
      </c>
      <c r="G74" s="79" t="s">
        <v>415</v>
      </c>
      <c r="H74" s="82"/>
      <c r="I74" s="82" t="s">
        <v>70</v>
      </c>
      <c r="J74" s="82"/>
      <c r="K74" s="210"/>
    </row>
    <row r="75" spans="1:11" hidden="1">
      <c r="A75" s="79" t="s">
        <v>61</v>
      </c>
      <c r="B75" s="79">
        <v>4523</v>
      </c>
      <c r="C75" s="79" t="s">
        <v>431</v>
      </c>
      <c r="D75" s="79" t="s">
        <v>432</v>
      </c>
      <c r="E75" s="150" t="s">
        <v>433</v>
      </c>
      <c r="F75" s="79" t="s">
        <v>414</v>
      </c>
      <c r="G75" s="79" t="s">
        <v>415</v>
      </c>
      <c r="H75" s="82"/>
      <c r="I75" s="82" t="s">
        <v>70</v>
      </c>
      <c r="J75" s="82"/>
      <c r="K75" s="210"/>
    </row>
    <row r="76" spans="1:11" hidden="1">
      <c r="A76" s="79" t="s">
        <v>61</v>
      </c>
      <c r="B76" s="79">
        <v>4525</v>
      </c>
      <c r="C76" s="79" t="s">
        <v>416</v>
      </c>
      <c r="D76" s="79" t="s">
        <v>417</v>
      </c>
      <c r="E76" s="150" t="s">
        <v>418</v>
      </c>
      <c r="F76" s="79" t="s">
        <v>414</v>
      </c>
      <c r="G76" s="79" t="s">
        <v>415</v>
      </c>
      <c r="H76" s="82"/>
      <c r="I76" s="82" t="s">
        <v>70</v>
      </c>
      <c r="J76" s="82"/>
      <c r="K76" s="210"/>
    </row>
    <row r="77" spans="1:11" hidden="1">
      <c r="A77" s="79" t="s">
        <v>61</v>
      </c>
      <c r="B77" s="79">
        <v>44678</v>
      </c>
      <c r="C77" s="79" t="s">
        <v>434</v>
      </c>
      <c r="D77" s="79" t="s">
        <v>435</v>
      </c>
      <c r="E77" s="150" t="s">
        <v>436</v>
      </c>
      <c r="F77" s="79" t="s">
        <v>414</v>
      </c>
      <c r="G77" s="79" t="s">
        <v>415</v>
      </c>
      <c r="H77" s="82"/>
      <c r="I77" s="82" t="s">
        <v>70</v>
      </c>
      <c r="J77" s="82"/>
      <c r="K77" s="210"/>
    </row>
    <row r="78" spans="1:11" hidden="1">
      <c r="A78" s="79" t="s">
        <v>61</v>
      </c>
      <c r="B78" s="79">
        <v>45357</v>
      </c>
      <c r="C78" s="79" t="s">
        <v>422</v>
      </c>
      <c r="D78" s="79" t="s">
        <v>423</v>
      </c>
      <c r="E78" s="150" t="s">
        <v>424</v>
      </c>
      <c r="F78" s="79" t="s">
        <v>414</v>
      </c>
      <c r="G78" s="79" t="s">
        <v>415</v>
      </c>
      <c r="H78" s="82"/>
      <c r="I78" s="82" t="s">
        <v>70</v>
      </c>
      <c r="J78" s="82"/>
      <c r="K78" s="210"/>
    </row>
    <row r="79" spans="1:11" hidden="1">
      <c r="A79" s="79" t="s">
        <v>61</v>
      </c>
      <c r="B79" s="79">
        <v>45198</v>
      </c>
      <c r="C79" s="79" t="s">
        <v>481</v>
      </c>
      <c r="D79" s="79" t="s">
        <v>482</v>
      </c>
      <c r="E79" s="150" t="s">
        <v>483</v>
      </c>
      <c r="F79" s="79" t="s">
        <v>414</v>
      </c>
      <c r="G79" s="79" t="s">
        <v>415</v>
      </c>
      <c r="H79" s="82"/>
      <c r="I79" s="82" t="s">
        <v>70</v>
      </c>
      <c r="J79" s="82"/>
      <c r="K79" s="210"/>
    </row>
    <row r="80" spans="1:11" hidden="1">
      <c r="A80" s="79" t="s">
        <v>61</v>
      </c>
      <c r="B80" s="79">
        <v>45323</v>
      </c>
      <c r="C80" s="79" t="s">
        <v>440</v>
      </c>
      <c r="D80" s="79" t="s">
        <v>441</v>
      </c>
      <c r="E80" s="150" t="s">
        <v>442</v>
      </c>
      <c r="F80" s="79" t="s">
        <v>414</v>
      </c>
      <c r="G80" s="79" t="s">
        <v>415</v>
      </c>
      <c r="H80" s="82"/>
      <c r="I80" s="82" t="s">
        <v>70</v>
      </c>
      <c r="J80" s="82"/>
      <c r="K80" s="210"/>
    </row>
    <row r="81" spans="1:11" hidden="1">
      <c r="A81" s="79" t="s">
        <v>61</v>
      </c>
      <c r="B81" s="79">
        <v>0</v>
      </c>
      <c r="C81" s="79" t="s">
        <v>446</v>
      </c>
      <c r="D81" s="79" t="s">
        <v>447</v>
      </c>
      <c r="E81" s="150" t="s">
        <v>448</v>
      </c>
      <c r="F81" s="79" t="s">
        <v>414</v>
      </c>
      <c r="G81" s="79" t="s">
        <v>415</v>
      </c>
      <c r="H81" s="82"/>
      <c r="I81" s="82" t="s">
        <v>70</v>
      </c>
      <c r="J81" s="82"/>
      <c r="K81" s="210"/>
    </row>
    <row r="82" spans="1:11" hidden="1">
      <c r="A82" s="79" t="s">
        <v>61</v>
      </c>
      <c r="B82" s="79">
        <v>45298</v>
      </c>
      <c r="C82" s="79" t="s">
        <v>452</v>
      </c>
      <c r="D82" s="79" t="s">
        <v>453</v>
      </c>
      <c r="E82" s="150" t="s">
        <v>454</v>
      </c>
      <c r="F82" s="79" t="s">
        <v>414</v>
      </c>
      <c r="G82" s="79" t="s">
        <v>415</v>
      </c>
      <c r="H82" s="82"/>
      <c r="I82" s="82" t="s">
        <v>70</v>
      </c>
      <c r="J82" s="82"/>
      <c r="K82" s="210"/>
    </row>
    <row r="83" spans="1:11" hidden="1">
      <c r="A83" s="79" t="s">
        <v>61</v>
      </c>
      <c r="B83" s="79">
        <v>45358</v>
      </c>
      <c r="C83" s="79" t="s">
        <v>459</v>
      </c>
      <c r="D83" s="79" t="s">
        <v>460</v>
      </c>
      <c r="E83" s="150" t="s">
        <v>461</v>
      </c>
      <c r="F83" s="79" t="s">
        <v>414</v>
      </c>
      <c r="G83" s="79" t="s">
        <v>415</v>
      </c>
      <c r="H83" s="82"/>
      <c r="I83" s="82" t="s">
        <v>70</v>
      </c>
      <c r="J83" s="82"/>
      <c r="K83" s="210"/>
    </row>
    <row r="84" spans="1:11" hidden="1">
      <c r="A84" s="79" t="s">
        <v>61</v>
      </c>
      <c r="B84" s="79">
        <v>456</v>
      </c>
      <c r="C84" s="79" t="s">
        <v>462</v>
      </c>
      <c r="D84" s="79" t="s">
        <v>463</v>
      </c>
      <c r="E84" s="150" t="s">
        <v>464</v>
      </c>
      <c r="F84" s="79" t="s">
        <v>414</v>
      </c>
      <c r="G84" s="79" t="s">
        <v>415</v>
      </c>
      <c r="H84" s="82"/>
      <c r="I84" s="82" t="s">
        <v>70</v>
      </c>
      <c r="J84" s="82"/>
      <c r="K84" s="210"/>
    </row>
    <row r="85" spans="1:11" hidden="1">
      <c r="A85" s="79" t="s">
        <v>61</v>
      </c>
      <c r="B85" s="79">
        <v>4521</v>
      </c>
      <c r="C85" s="79" t="s">
        <v>465</v>
      </c>
      <c r="D85" s="79" t="s">
        <v>466</v>
      </c>
      <c r="E85" s="150" t="s">
        <v>467</v>
      </c>
      <c r="F85" s="79" t="s">
        <v>414</v>
      </c>
      <c r="G85" s="79" t="s">
        <v>415</v>
      </c>
      <c r="H85" s="82"/>
      <c r="I85" s="82" t="s">
        <v>70</v>
      </c>
      <c r="J85" s="82"/>
      <c r="K85" s="210"/>
    </row>
    <row r="86" spans="1:11" hidden="1">
      <c r="A86" s="79" t="s">
        <v>61</v>
      </c>
      <c r="B86" s="79">
        <v>45319</v>
      </c>
      <c r="C86" s="79" t="s">
        <v>468</v>
      </c>
      <c r="D86" s="79" t="s">
        <v>469</v>
      </c>
      <c r="E86" s="150" t="s">
        <v>470</v>
      </c>
      <c r="F86" s="79" t="s">
        <v>414</v>
      </c>
      <c r="G86" s="79" t="s">
        <v>415</v>
      </c>
      <c r="H86" s="82"/>
      <c r="I86" s="82" t="s">
        <v>70</v>
      </c>
      <c r="J86" s="82"/>
      <c r="K86" s="210"/>
    </row>
    <row r="87" spans="1:11" hidden="1">
      <c r="A87" s="79" t="s">
        <v>61</v>
      </c>
      <c r="B87" s="79">
        <v>45332</v>
      </c>
      <c r="C87" s="79" t="s">
        <v>270</v>
      </c>
      <c r="D87" s="79" t="s">
        <v>271</v>
      </c>
      <c r="E87" s="150" t="s">
        <v>272</v>
      </c>
      <c r="F87" s="79" t="s">
        <v>266</v>
      </c>
      <c r="G87" s="79" t="s">
        <v>273</v>
      </c>
      <c r="H87" s="82"/>
      <c r="I87" s="82" t="s">
        <v>119</v>
      </c>
      <c r="J87" s="82"/>
      <c r="K87" s="210"/>
    </row>
    <row r="88" spans="1:11" hidden="1">
      <c r="A88" s="79" t="s">
        <v>61</v>
      </c>
      <c r="B88" s="79">
        <v>4567</v>
      </c>
      <c r="C88" s="79" t="s">
        <v>274</v>
      </c>
      <c r="D88" s="79" t="s">
        <v>275</v>
      </c>
      <c r="E88" s="150" t="s">
        <v>276</v>
      </c>
      <c r="F88" s="79" t="s">
        <v>266</v>
      </c>
      <c r="G88" s="79" t="s">
        <v>273</v>
      </c>
      <c r="H88" s="82"/>
      <c r="I88" s="82" t="s">
        <v>119</v>
      </c>
      <c r="J88" s="82"/>
      <c r="K88" s="210"/>
    </row>
    <row r="89" spans="1:11" hidden="1">
      <c r="A89" s="79" t="s">
        <v>61</v>
      </c>
      <c r="B89" s="79">
        <v>4575</v>
      </c>
      <c r="C89" s="79" t="s">
        <v>277</v>
      </c>
      <c r="D89" s="79" t="s">
        <v>278</v>
      </c>
      <c r="E89" s="150" t="s">
        <v>279</v>
      </c>
      <c r="F89" s="79" t="s">
        <v>266</v>
      </c>
      <c r="G89" s="79" t="s">
        <v>273</v>
      </c>
      <c r="H89" s="82"/>
      <c r="I89" s="82" t="s">
        <v>119</v>
      </c>
      <c r="J89" s="82"/>
      <c r="K89" s="210"/>
    </row>
    <row r="90" spans="1:11" hidden="1">
      <c r="A90" s="79" t="s">
        <v>61</v>
      </c>
      <c r="B90" s="79">
        <v>45328</v>
      </c>
      <c r="C90" s="79" t="s">
        <v>280</v>
      </c>
      <c r="D90" s="79" t="s">
        <v>281</v>
      </c>
      <c r="E90" s="150" t="s">
        <v>282</v>
      </c>
      <c r="F90" s="79" t="s">
        <v>266</v>
      </c>
      <c r="G90" s="79" t="s">
        <v>273</v>
      </c>
      <c r="H90" s="82"/>
      <c r="I90" s="82" t="s">
        <v>119</v>
      </c>
      <c r="J90" s="82"/>
      <c r="K90" s="210"/>
    </row>
    <row r="91" spans="1:11" hidden="1">
      <c r="A91" s="79" t="s">
        <v>61</v>
      </c>
      <c r="B91" s="79">
        <v>44682</v>
      </c>
      <c r="C91" s="79" t="s">
        <v>263</v>
      </c>
      <c r="D91" s="79" t="s">
        <v>264</v>
      </c>
      <c r="E91" s="150" t="s">
        <v>265</v>
      </c>
      <c r="F91" s="79" t="s">
        <v>266</v>
      </c>
      <c r="G91" s="79" t="s">
        <v>267</v>
      </c>
      <c r="H91" s="82"/>
      <c r="I91" s="82" t="s">
        <v>119</v>
      </c>
      <c r="J91" s="82"/>
      <c r="K91" s="210"/>
    </row>
    <row r="92" spans="1:11" hidden="1">
      <c r="A92" s="79" t="s">
        <v>61</v>
      </c>
      <c r="B92" s="79">
        <v>44641</v>
      </c>
      <c r="C92" s="79" t="s">
        <v>283</v>
      </c>
      <c r="D92" s="79" t="s">
        <v>284</v>
      </c>
      <c r="E92" s="150" t="s">
        <v>285</v>
      </c>
      <c r="F92" s="79" t="s">
        <v>266</v>
      </c>
      <c r="G92" s="79" t="s">
        <v>267</v>
      </c>
      <c r="H92" s="82"/>
      <c r="I92" s="82" t="s">
        <v>119</v>
      </c>
      <c r="J92" s="82"/>
      <c r="K92" s="210"/>
    </row>
    <row r="93" spans="1:11" hidden="1">
      <c r="A93" s="79" t="s">
        <v>61</v>
      </c>
      <c r="B93" s="79">
        <v>45199</v>
      </c>
      <c r="C93" s="79" t="s">
        <v>286</v>
      </c>
      <c r="D93" s="79" t="s">
        <v>287</v>
      </c>
      <c r="E93" s="150" t="s">
        <v>288</v>
      </c>
      <c r="F93" s="79" t="s">
        <v>266</v>
      </c>
      <c r="G93" s="79" t="s">
        <v>267</v>
      </c>
      <c r="H93" s="82"/>
      <c r="I93" s="82" t="s">
        <v>119</v>
      </c>
      <c r="J93" s="82"/>
      <c r="K93" s="210"/>
    </row>
    <row r="94" spans="1:11" hidden="1">
      <c r="A94" s="79" t="s">
        <v>61</v>
      </c>
      <c r="B94" s="79">
        <v>452</v>
      </c>
      <c r="C94" s="79" t="s">
        <v>289</v>
      </c>
      <c r="D94" s="79" t="s">
        <v>290</v>
      </c>
      <c r="E94" s="150" t="s">
        <v>291</v>
      </c>
      <c r="F94" s="79" t="s">
        <v>266</v>
      </c>
      <c r="G94" s="79" t="s">
        <v>267</v>
      </c>
      <c r="H94" s="82"/>
      <c r="I94" s="82" t="s">
        <v>119</v>
      </c>
      <c r="J94" s="82"/>
      <c r="K94" s="210"/>
    </row>
    <row r="95" spans="1:11" hidden="1">
      <c r="A95" s="79" t="s">
        <v>61</v>
      </c>
      <c r="B95" s="79">
        <v>44865</v>
      </c>
      <c r="C95" s="79" t="s">
        <v>160</v>
      </c>
      <c r="D95" s="79" t="s">
        <v>161</v>
      </c>
      <c r="E95" s="150" t="s">
        <v>162</v>
      </c>
      <c r="F95" s="79" t="s">
        <v>117</v>
      </c>
      <c r="G95" s="79" t="s">
        <v>163</v>
      </c>
      <c r="H95" s="82"/>
      <c r="I95" s="82" t="s">
        <v>119</v>
      </c>
      <c r="J95" s="82"/>
      <c r="K95" s="210"/>
    </row>
    <row r="96" spans="1:11" hidden="1">
      <c r="A96" s="79" t="s">
        <v>61</v>
      </c>
      <c r="B96" s="79">
        <v>45677</v>
      </c>
      <c r="C96" s="79" t="s">
        <v>194</v>
      </c>
      <c r="D96" s="79" t="s">
        <v>195</v>
      </c>
      <c r="E96" s="150" t="s">
        <v>196</v>
      </c>
      <c r="F96" s="79" t="s">
        <v>117</v>
      </c>
      <c r="G96" s="79" t="s">
        <v>163</v>
      </c>
      <c r="H96" s="82"/>
      <c r="I96" s="82" t="s">
        <v>119</v>
      </c>
      <c r="J96" s="82"/>
      <c r="K96" s="210"/>
    </row>
    <row r="97" spans="1:11" hidden="1">
      <c r="A97" s="79" t="s">
        <v>61</v>
      </c>
      <c r="B97" s="79">
        <v>4468</v>
      </c>
      <c r="C97" s="79" t="s">
        <v>165</v>
      </c>
      <c r="D97" s="79" t="s">
        <v>166</v>
      </c>
      <c r="E97" s="150" t="s">
        <v>167</v>
      </c>
      <c r="F97" s="79" t="s">
        <v>117</v>
      </c>
      <c r="G97" s="79" t="s">
        <v>163</v>
      </c>
      <c r="H97" s="82"/>
      <c r="I97" s="82" t="s">
        <v>119</v>
      </c>
      <c r="J97" s="82"/>
      <c r="K97" s="210"/>
    </row>
    <row r="98" spans="1:11" hidden="1">
      <c r="A98" s="79" t="s">
        <v>61</v>
      </c>
      <c r="B98" s="79">
        <v>4493</v>
      </c>
      <c r="C98" s="79" t="s">
        <v>169</v>
      </c>
      <c r="D98" s="79" t="s">
        <v>776</v>
      </c>
      <c r="E98" s="150" t="s">
        <v>171</v>
      </c>
      <c r="F98" s="79" t="s">
        <v>117</v>
      </c>
      <c r="G98" s="79" t="s">
        <v>163</v>
      </c>
      <c r="H98" s="82"/>
      <c r="I98" s="82" t="s">
        <v>119</v>
      </c>
      <c r="J98" s="82"/>
      <c r="K98" s="210"/>
    </row>
    <row r="99" spans="1:11" hidden="1">
      <c r="A99" s="79" t="s">
        <v>61</v>
      </c>
      <c r="B99" s="79">
        <v>4516</v>
      </c>
      <c r="C99" s="79" t="s">
        <v>181</v>
      </c>
      <c r="D99" s="79" t="s">
        <v>182</v>
      </c>
      <c r="E99" s="150" t="s">
        <v>183</v>
      </c>
      <c r="F99" s="79" t="s">
        <v>117</v>
      </c>
      <c r="G99" s="79" t="s">
        <v>179</v>
      </c>
      <c r="H99" s="82"/>
      <c r="I99" s="82" t="s">
        <v>119</v>
      </c>
      <c r="J99" s="82"/>
      <c r="K99" s="210"/>
    </row>
    <row r="100" spans="1:11" hidden="1">
      <c r="A100" s="79" t="s">
        <v>61</v>
      </c>
      <c r="B100" s="79">
        <v>4543</v>
      </c>
      <c r="C100" s="79" t="s">
        <v>295</v>
      </c>
      <c r="D100" s="79" t="s">
        <v>296</v>
      </c>
      <c r="E100" s="150" t="s">
        <v>297</v>
      </c>
      <c r="F100" s="79" t="s">
        <v>266</v>
      </c>
      <c r="G100" s="79" t="s">
        <v>267</v>
      </c>
      <c r="H100" s="82"/>
      <c r="I100" s="82" t="s">
        <v>119</v>
      </c>
      <c r="J100" s="82"/>
      <c r="K100" s="210"/>
    </row>
    <row r="101" spans="1:11" hidden="1">
      <c r="A101" s="79" t="s">
        <v>61</v>
      </c>
      <c r="B101" s="79">
        <v>45522</v>
      </c>
      <c r="C101" s="79" t="s">
        <v>176</v>
      </c>
      <c r="D101" s="79" t="s">
        <v>177</v>
      </c>
      <c r="E101" s="150" t="s">
        <v>178</v>
      </c>
      <c r="F101" s="79" t="s">
        <v>117</v>
      </c>
      <c r="G101" s="79" t="s">
        <v>179</v>
      </c>
      <c r="H101" s="82"/>
      <c r="I101" s="82" t="s">
        <v>119</v>
      </c>
      <c r="J101" s="82"/>
      <c r="K101" s="210"/>
    </row>
    <row r="102" spans="1:11" hidden="1">
      <c r="A102" s="79" t="s">
        <v>61</v>
      </c>
      <c r="B102" s="79">
        <v>0</v>
      </c>
      <c r="C102" s="113" t="s">
        <v>727</v>
      </c>
      <c r="D102" s="113" t="s">
        <v>728</v>
      </c>
      <c r="E102" s="151" t="s">
        <v>777</v>
      </c>
      <c r="F102" s="79" t="s">
        <v>266</v>
      </c>
      <c r="G102" s="115" t="s">
        <v>267</v>
      </c>
      <c r="H102" s="82"/>
      <c r="I102" s="82" t="s">
        <v>119</v>
      </c>
      <c r="J102" s="82"/>
      <c r="K102" s="210"/>
    </row>
    <row r="103" spans="1:11" hidden="1">
      <c r="A103" s="79" t="s">
        <v>61</v>
      </c>
      <c r="B103" s="79">
        <v>45326</v>
      </c>
      <c r="C103" s="79" t="s">
        <v>301</v>
      </c>
      <c r="D103" s="79" t="s">
        <v>302</v>
      </c>
      <c r="E103" s="150" t="s">
        <v>303</v>
      </c>
      <c r="F103" s="79" t="s">
        <v>266</v>
      </c>
      <c r="G103" s="79" t="s">
        <v>267</v>
      </c>
      <c r="H103" s="82"/>
      <c r="I103" s="82" t="s">
        <v>119</v>
      </c>
      <c r="J103" s="82"/>
      <c r="K103" s="210"/>
    </row>
    <row r="104" spans="1:11" hidden="1">
      <c r="A104" s="79" t="s">
        <v>61</v>
      </c>
      <c r="B104" s="79">
        <v>0</v>
      </c>
      <c r="C104" s="79" t="s">
        <v>185</v>
      </c>
      <c r="D104" s="79" t="s">
        <v>186</v>
      </c>
      <c r="E104" s="150" t="s">
        <v>187</v>
      </c>
      <c r="F104" s="79" t="s">
        <v>117</v>
      </c>
      <c r="G104" s="79" t="s">
        <v>188</v>
      </c>
      <c r="H104" s="82"/>
      <c r="I104" s="82" t="s">
        <v>119</v>
      </c>
      <c r="J104" s="82"/>
      <c r="K104" s="210"/>
    </row>
    <row r="105" spans="1:11" hidden="1">
      <c r="A105" s="79" t="s">
        <v>61</v>
      </c>
      <c r="B105" s="79">
        <v>4532</v>
      </c>
      <c r="C105" s="79" t="s">
        <v>499</v>
      </c>
      <c r="D105" s="79" t="s">
        <v>500</v>
      </c>
      <c r="E105" s="150" t="s">
        <v>501</v>
      </c>
      <c r="F105" s="79" t="s">
        <v>640</v>
      </c>
      <c r="G105" s="79" t="s">
        <v>492</v>
      </c>
      <c r="H105" s="82"/>
      <c r="I105" s="82" t="s">
        <v>119</v>
      </c>
      <c r="J105" s="82"/>
      <c r="K105" s="210"/>
    </row>
    <row r="106" spans="1:11" hidden="1">
      <c r="A106" s="79" t="s">
        <v>61</v>
      </c>
      <c r="B106" s="79">
        <v>44635</v>
      </c>
      <c r="C106" s="79" t="s">
        <v>502</v>
      </c>
      <c r="D106" s="79" t="s">
        <v>503</v>
      </c>
      <c r="E106" s="150" t="s">
        <v>504</v>
      </c>
      <c r="F106" s="79" t="s">
        <v>640</v>
      </c>
      <c r="G106" s="79" t="s">
        <v>492</v>
      </c>
      <c r="H106" s="82"/>
      <c r="I106" s="82" t="s">
        <v>119</v>
      </c>
      <c r="J106" s="82"/>
      <c r="K106" s="210"/>
    </row>
    <row r="107" spans="1:11" hidden="1">
      <c r="A107" s="79" t="s">
        <v>61</v>
      </c>
      <c r="B107" s="79">
        <v>4526</v>
      </c>
      <c r="C107" s="79" t="s">
        <v>579</v>
      </c>
      <c r="D107" s="79" t="s">
        <v>580</v>
      </c>
      <c r="E107" s="150" t="s">
        <v>581</v>
      </c>
      <c r="F107" s="79" t="s">
        <v>640</v>
      </c>
      <c r="G107" s="79" t="s">
        <v>492</v>
      </c>
      <c r="H107" s="82"/>
      <c r="I107" s="82" t="s">
        <v>119</v>
      </c>
      <c r="J107" s="82"/>
      <c r="K107" s="210"/>
    </row>
    <row r="108" spans="1:11" hidden="1">
      <c r="A108" s="79" t="s">
        <v>61</v>
      </c>
      <c r="B108" s="79">
        <v>44638</v>
      </c>
      <c r="C108" s="79" t="s">
        <v>585</v>
      </c>
      <c r="D108" s="79" t="s">
        <v>586</v>
      </c>
      <c r="E108" s="150" t="s">
        <v>587</v>
      </c>
      <c r="F108" s="79" t="s">
        <v>640</v>
      </c>
      <c r="G108" s="79" t="s">
        <v>492</v>
      </c>
      <c r="H108" s="82"/>
      <c r="I108" s="82" t="s">
        <v>119</v>
      </c>
      <c r="J108" s="82"/>
      <c r="K108" s="210"/>
    </row>
    <row r="109" spans="1:11" hidden="1">
      <c r="A109" s="79" t="s">
        <v>61</v>
      </c>
      <c r="B109" s="79">
        <v>45318</v>
      </c>
      <c r="C109" s="79" t="s">
        <v>511</v>
      </c>
      <c r="D109" s="79" t="s">
        <v>512</v>
      </c>
      <c r="E109" s="150" t="s">
        <v>513</v>
      </c>
      <c r="F109" s="79" t="s">
        <v>640</v>
      </c>
      <c r="G109" s="79" t="s">
        <v>492</v>
      </c>
      <c r="H109" s="82"/>
      <c r="I109" s="82" t="s">
        <v>119</v>
      </c>
      <c r="J109" s="82"/>
      <c r="K109" s="210"/>
    </row>
    <row r="110" spans="1:11" hidden="1">
      <c r="A110" s="79" t="s">
        <v>61</v>
      </c>
      <c r="B110" s="79">
        <v>45221</v>
      </c>
      <c r="C110" s="79" t="s">
        <v>517</v>
      </c>
      <c r="D110" s="79" t="s">
        <v>518</v>
      </c>
      <c r="E110" s="150" t="s">
        <v>519</v>
      </c>
      <c r="F110" s="79" t="s">
        <v>640</v>
      </c>
      <c r="G110" s="79" t="s">
        <v>492</v>
      </c>
      <c r="H110" s="82"/>
      <c r="I110" s="82" t="s">
        <v>119</v>
      </c>
      <c r="J110" s="82"/>
      <c r="K110" s="210"/>
    </row>
    <row r="111" spans="1:11" hidden="1">
      <c r="A111" s="79" t="s">
        <v>61</v>
      </c>
      <c r="B111" s="79">
        <v>4598</v>
      </c>
      <c r="C111" s="79" t="s">
        <v>523</v>
      </c>
      <c r="D111" s="79" t="s">
        <v>524</v>
      </c>
      <c r="E111" s="150" t="s">
        <v>525</v>
      </c>
      <c r="F111" s="79" t="s">
        <v>640</v>
      </c>
      <c r="G111" s="79" t="s">
        <v>492</v>
      </c>
      <c r="H111" s="82" t="s">
        <v>778</v>
      </c>
      <c r="I111" s="82" t="s">
        <v>119</v>
      </c>
      <c r="J111" s="82"/>
      <c r="K111" s="210"/>
    </row>
    <row r="112" spans="1:11" hidden="1">
      <c r="A112" s="79" t="s">
        <v>61</v>
      </c>
      <c r="B112" s="79">
        <v>45556</v>
      </c>
      <c r="C112" s="79" t="s">
        <v>591</v>
      </c>
      <c r="D112" s="79" t="s">
        <v>592</v>
      </c>
      <c r="E112" s="150" t="s">
        <v>593</v>
      </c>
      <c r="F112" s="79" t="s">
        <v>640</v>
      </c>
      <c r="G112" s="79" t="s">
        <v>488</v>
      </c>
      <c r="H112" s="82"/>
      <c r="I112" s="82" t="s">
        <v>119</v>
      </c>
      <c r="J112" s="82"/>
      <c r="K112" s="210"/>
    </row>
    <row r="113" spans="1:11" hidden="1">
      <c r="A113" s="79" t="s">
        <v>61</v>
      </c>
      <c r="B113" s="79">
        <v>45144</v>
      </c>
      <c r="C113" s="79" t="s">
        <v>582</v>
      </c>
      <c r="D113" s="79" t="s">
        <v>583</v>
      </c>
      <c r="E113" s="150" t="s">
        <v>584</v>
      </c>
      <c r="F113" s="79" t="s">
        <v>640</v>
      </c>
      <c r="G113" s="79" t="s">
        <v>488</v>
      </c>
      <c r="H113" s="82"/>
      <c r="I113" s="82" t="s">
        <v>119</v>
      </c>
      <c r="J113" s="82"/>
      <c r="K113" s="210"/>
    </row>
    <row r="114" spans="1:11" hidden="1">
      <c r="A114" s="79" t="s">
        <v>61</v>
      </c>
      <c r="B114" s="79">
        <v>4577</v>
      </c>
      <c r="C114" s="79" t="s">
        <v>526</v>
      </c>
      <c r="D114" s="79" t="s">
        <v>527</v>
      </c>
      <c r="E114" s="150" t="s">
        <v>528</v>
      </c>
      <c r="F114" s="79" t="s">
        <v>640</v>
      </c>
      <c r="G114" s="79" t="s">
        <v>488</v>
      </c>
      <c r="H114" s="82"/>
      <c r="I114" s="82" t="s">
        <v>119</v>
      </c>
      <c r="J114" s="82"/>
      <c r="K114" s="210"/>
    </row>
    <row r="115" spans="1:11" hidden="1">
      <c r="A115" s="79" t="s">
        <v>61</v>
      </c>
      <c r="B115" s="79">
        <v>45699</v>
      </c>
      <c r="C115" s="79" t="s">
        <v>545</v>
      </c>
      <c r="D115" s="79" t="s">
        <v>546</v>
      </c>
      <c r="E115" s="150" t="s">
        <v>547</v>
      </c>
      <c r="F115" s="79" t="s">
        <v>640</v>
      </c>
      <c r="G115" s="79" t="s">
        <v>488</v>
      </c>
      <c r="H115" s="82"/>
      <c r="I115" s="82" t="s">
        <v>119</v>
      </c>
      <c r="J115" s="82"/>
      <c r="K115" s="210"/>
    </row>
    <row r="116" spans="1:11" hidden="1">
      <c r="A116" s="79" t="s">
        <v>61</v>
      </c>
      <c r="B116" s="79">
        <v>4563</v>
      </c>
      <c r="C116" s="79" t="s">
        <v>505</v>
      </c>
      <c r="D116" s="79" t="s">
        <v>506</v>
      </c>
      <c r="E116" s="150" t="s">
        <v>507</v>
      </c>
      <c r="F116" s="79" t="s">
        <v>640</v>
      </c>
      <c r="G116" s="79" t="s">
        <v>492</v>
      </c>
      <c r="H116" s="82"/>
      <c r="I116" s="82" t="s">
        <v>119</v>
      </c>
      <c r="J116" s="82"/>
      <c r="K116" s="210"/>
    </row>
    <row r="117" spans="1:11" hidden="1">
      <c r="A117" s="79" t="s">
        <v>61</v>
      </c>
      <c r="B117" s="79">
        <v>45317</v>
      </c>
      <c r="C117" s="79" t="s">
        <v>548</v>
      </c>
      <c r="D117" s="79" t="s">
        <v>549</v>
      </c>
      <c r="E117" s="150" t="s">
        <v>550</v>
      </c>
      <c r="F117" s="79" t="s">
        <v>640</v>
      </c>
      <c r="G117" s="79" t="s">
        <v>488</v>
      </c>
      <c r="H117" s="82" t="s">
        <v>779</v>
      </c>
      <c r="I117" s="82" t="s">
        <v>119</v>
      </c>
      <c r="J117" s="82"/>
      <c r="K117" s="210"/>
    </row>
    <row r="118" spans="1:11" hidden="1">
      <c r="A118" s="79" t="s">
        <v>61</v>
      </c>
      <c r="B118" s="79">
        <v>4589</v>
      </c>
      <c r="C118" s="79" t="s">
        <v>536</v>
      </c>
      <c r="D118" s="79" t="s">
        <v>537</v>
      </c>
      <c r="E118" s="150" t="s">
        <v>538</v>
      </c>
      <c r="F118" s="79" t="s">
        <v>640</v>
      </c>
      <c r="G118" s="79" t="s">
        <v>488</v>
      </c>
      <c r="H118" s="82"/>
      <c r="I118" s="82" t="s">
        <v>119</v>
      </c>
      <c r="J118" s="82"/>
      <c r="K118" s="210"/>
    </row>
    <row r="119" spans="1:11" hidden="1">
      <c r="A119" s="79" t="s">
        <v>61</v>
      </c>
      <c r="B119" s="79">
        <v>45423</v>
      </c>
      <c r="C119" s="79" t="s">
        <v>539</v>
      </c>
      <c r="D119" s="79" t="s">
        <v>540</v>
      </c>
      <c r="E119" s="150" t="s">
        <v>541</v>
      </c>
      <c r="F119" s="79" t="s">
        <v>640</v>
      </c>
      <c r="G119" s="79" t="s">
        <v>488</v>
      </c>
      <c r="H119" s="82"/>
      <c r="I119" s="82" t="s">
        <v>119</v>
      </c>
      <c r="J119" s="82"/>
      <c r="K119" s="210"/>
    </row>
    <row r="120" spans="1:11" hidden="1">
      <c r="A120" s="79" t="s">
        <v>61</v>
      </c>
      <c r="B120" s="79">
        <v>45211</v>
      </c>
      <c r="C120" s="79" t="s">
        <v>542</v>
      </c>
      <c r="D120" s="79" t="s">
        <v>543</v>
      </c>
      <c r="E120" s="150" t="s">
        <v>544</v>
      </c>
      <c r="F120" s="79" t="s">
        <v>640</v>
      </c>
      <c r="G120" s="79" t="s">
        <v>488</v>
      </c>
      <c r="H120" s="82"/>
      <c r="I120" s="82" t="s">
        <v>119</v>
      </c>
      <c r="J120" s="82"/>
      <c r="K120" s="210"/>
    </row>
    <row r="121" spans="1:11" hidden="1">
      <c r="A121" s="79" t="s">
        <v>61</v>
      </c>
      <c r="B121" s="79">
        <v>45515</v>
      </c>
      <c r="C121" s="79" t="s">
        <v>200</v>
      </c>
      <c r="D121" s="79" t="s">
        <v>201</v>
      </c>
      <c r="E121" s="150" t="s">
        <v>202</v>
      </c>
      <c r="F121" s="79" t="s">
        <v>613</v>
      </c>
      <c r="G121" s="79" t="s">
        <v>204</v>
      </c>
      <c r="H121" s="82"/>
      <c r="I121" s="82" t="s">
        <v>70</v>
      </c>
      <c r="J121" s="82"/>
      <c r="K121" s="210"/>
    </row>
    <row r="122" spans="1:11" hidden="1">
      <c r="A122" s="79" t="s">
        <v>61</v>
      </c>
      <c r="B122" s="79">
        <v>4596</v>
      </c>
      <c r="C122" s="79" t="s">
        <v>474</v>
      </c>
      <c r="D122" s="79" t="s">
        <v>475</v>
      </c>
      <c r="E122" s="150" t="s">
        <v>476</v>
      </c>
      <c r="F122" s="79" t="s">
        <v>414</v>
      </c>
      <c r="G122" s="79" t="s">
        <v>415</v>
      </c>
      <c r="H122" s="82"/>
      <c r="I122" s="82" t="s">
        <v>70</v>
      </c>
      <c r="J122" s="82"/>
      <c r="K122" s="210"/>
    </row>
    <row r="123" spans="1:11" hidden="1">
      <c r="A123" s="79" t="s">
        <v>61</v>
      </c>
      <c r="B123" s="79">
        <v>45669</v>
      </c>
      <c r="C123" s="79" t="s">
        <v>365</v>
      </c>
      <c r="D123" s="79" t="s">
        <v>366</v>
      </c>
      <c r="E123" s="150" t="s">
        <v>367</v>
      </c>
      <c r="F123" s="79" t="s">
        <v>363</v>
      </c>
      <c r="G123" s="79" t="s">
        <v>368</v>
      </c>
      <c r="H123" s="82"/>
      <c r="I123" s="82" t="s">
        <v>119</v>
      </c>
      <c r="J123" s="82"/>
      <c r="K123" s="210"/>
    </row>
    <row r="124" spans="1:11" hidden="1">
      <c r="A124" s="79" t="s">
        <v>61</v>
      </c>
      <c r="B124" s="79">
        <v>44954</v>
      </c>
      <c r="C124" s="79" t="s">
        <v>411</v>
      </c>
      <c r="D124" s="79" t="s">
        <v>412</v>
      </c>
      <c r="E124" s="150" t="s">
        <v>413</v>
      </c>
      <c r="F124" s="79" t="s">
        <v>414</v>
      </c>
      <c r="G124" s="79" t="s">
        <v>415</v>
      </c>
      <c r="H124" s="82"/>
      <c r="I124" s="82" t="s">
        <v>70</v>
      </c>
      <c r="J124" s="82"/>
      <c r="K124" s="210"/>
    </row>
    <row r="125" spans="1:11" hidden="1">
      <c r="A125" s="79" t="s">
        <v>61</v>
      </c>
      <c r="B125" s="79">
        <v>45316</v>
      </c>
      <c r="C125" s="79" t="s">
        <v>373</v>
      </c>
      <c r="D125" s="79" t="s">
        <v>374</v>
      </c>
      <c r="E125" s="150" t="s">
        <v>375</v>
      </c>
      <c r="F125" s="79" t="s">
        <v>363</v>
      </c>
      <c r="G125" s="79" t="s">
        <v>368</v>
      </c>
      <c r="H125" s="82"/>
      <c r="I125" s="82" t="s">
        <v>119</v>
      </c>
      <c r="J125" s="82"/>
      <c r="K125" s="210"/>
    </row>
    <row r="126" spans="1:11" hidden="1">
      <c r="A126" s="79" t="s">
        <v>61</v>
      </c>
      <c r="B126" s="79">
        <v>45616</v>
      </c>
      <c r="C126" s="79" t="s">
        <v>408</v>
      </c>
      <c r="D126" s="79" t="s">
        <v>409</v>
      </c>
      <c r="E126" s="150" t="s">
        <v>410</v>
      </c>
      <c r="F126" s="79" t="s">
        <v>363</v>
      </c>
      <c r="G126" s="79" t="s">
        <v>368</v>
      </c>
      <c r="H126" s="82"/>
      <c r="I126" s="82" t="s">
        <v>119</v>
      </c>
      <c r="J126" s="82"/>
      <c r="K126" s="210"/>
    </row>
    <row r="127" spans="1:11" hidden="1">
      <c r="A127" s="79" t="s">
        <v>61</v>
      </c>
      <c r="B127" s="79">
        <v>45674</v>
      </c>
      <c r="C127" s="79" t="s">
        <v>376</v>
      </c>
      <c r="D127" s="79" t="s">
        <v>377</v>
      </c>
      <c r="E127" s="150" t="s">
        <v>378</v>
      </c>
      <c r="F127" s="79" t="s">
        <v>363</v>
      </c>
      <c r="G127" s="79" t="s">
        <v>368</v>
      </c>
      <c r="H127" s="82"/>
      <c r="I127" s="82" t="s">
        <v>119</v>
      </c>
      <c r="J127" s="82"/>
      <c r="K127" s="210"/>
    </row>
    <row r="128" spans="1:11" hidden="1">
      <c r="A128" s="79" t="s">
        <v>61</v>
      </c>
      <c r="B128" s="79">
        <v>4574</v>
      </c>
      <c r="C128" s="79" t="s">
        <v>370</v>
      </c>
      <c r="D128" s="79" t="s">
        <v>371</v>
      </c>
      <c r="E128" s="150" t="s">
        <v>372</v>
      </c>
      <c r="F128" s="79" t="s">
        <v>363</v>
      </c>
      <c r="G128" s="79" t="s">
        <v>368</v>
      </c>
      <c r="H128" s="82"/>
      <c r="I128" s="82" t="s">
        <v>119</v>
      </c>
      <c r="J128" s="82"/>
      <c r="K128" s="210"/>
    </row>
    <row r="129" spans="1:11" hidden="1">
      <c r="A129" s="79" t="s">
        <v>61</v>
      </c>
      <c r="B129" s="79">
        <v>45213</v>
      </c>
      <c r="C129" s="79" t="s">
        <v>561</v>
      </c>
      <c r="D129" s="79" t="s">
        <v>562</v>
      </c>
      <c r="E129" s="150" t="s">
        <v>563</v>
      </c>
      <c r="F129" s="79" t="s">
        <v>640</v>
      </c>
      <c r="G129" s="79" t="s">
        <v>564</v>
      </c>
      <c r="H129" s="82"/>
      <c r="I129" s="82" t="s">
        <v>119</v>
      </c>
      <c r="J129" s="82"/>
      <c r="K129" s="210"/>
    </row>
    <row r="130" spans="1:11" hidden="1">
      <c r="A130" s="79" t="s">
        <v>61</v>
      </c>
      <c r="B130" s="79">
        <v>4495</v>
      </c>
      <c r="C130" s="79" t="s">
        <v>716</v>
      </c>
      <c r="D130" s="79" t="s">
        <v>717</v>
      </c>
      <c r="E130" s="150" t="s">
        <v>718</v>
      </c>
      <c r="F130" s="79" t="s">
        <v>363</v>
      </c>
      <c r="G130" s="79" t="s">
        <v>364</v>
      </c>
      <c r="H130" s="82"/>
      <c r="I130" s="82" t="s">
        <v>70</v>
      </c>
      <c r="J130" s="82"/>
      <c r="K130" s="210"/>
    </row>
    <row r="131" spans="1:11" hidden="1">
      <c r="A131" s="79" t="s">
        <v>61</v>
      </c>
      <c r="B131" s="79">
        <v>4571</v>
      </c>
      <c r="C131" s="79" t="s">
        <v>388</v>
      </c>
      <c r="D131" s="79" t="s">
        <v>389</v>
      </c>
      <c r="E131" s="150" t="s">
        <v>390</v>
      </c>
      <c r="F131" s="79" t="s">
        <v>363</v>
      </c>
      <c r="G131" s="79" t="s">
        <v>364</v>
      </c>
      <c r="H131" s="82"/>
      <c r="I131" s="82" t="s">
        <v>70</v>
      </c>
      <c r="J131" s="82"/>
      <c r="K131" s="210"/>
    </row>
    <row r="132" spans="1:11" hidden="1">
      <c r="A132" s="79" t="s">
        <v>61</v>
      </c>
      <c r="B132" s="79">
        <v>44866</v>
      </c>
      <c r="C132" s="79" t="s">
        <v>382</v>
      </c>
      <c r="D132" s="79" t="s">
        <v>383</v>
      </c>
      <c r="E132" s="150" t="s">
        <v>384</v>
      </c>
      <c r="F132" s="79" t="s">
        <v>363</v>
      </c>
      <c r="G132" s="79" t="s">
        <v>364</v>
      </c>
      <c r="H132" s="82"/>
      <c r="I132" s="82" t="s">
        <v>70</v>
      </c>
      <c r="J132" s="82"/>
      <c r="K132" s="210"/>
    </row>
    <row r="133" spans="1:11" hidden="1">
      <c r="A133" s="79" t="s">
        <v>61</v>
      </c>
      <c r="B133" s="79">
        <v>45671</v>
      </c>
      <c r="C133" s="79" t="s">
        <v>401</v>
      </c>
      <c r="D133" s="79" t="s">
        <v>402</v>
      </c>
      <c r="E133" s="150" t="s">
        <v>403</v>
      </c>
      <c r="F133" s="79" t="s">
        <v>363</v>
      </c>
      <c r="G133" s="79" t="s">
        <v>364</v>
      </c>
      <c r="H133" s="82"/>
      <c r="I133" s="82" t="s">
        <v>70</v>
      </c>
      <c r="J133" s="82"/>
      <c r="K133" s="210"/>
    </row>
    <row r="134" spans="1:11" hidden="1">
      <c r="A134" s="79" t="s">
        <v>61</v>
      </c>
      <c r="B134" s="79">
        <v>4546</v>
      </c>
      <c r="C134" s="79" t="s">
        <v>739</v>
      </c>
      <c r="D134" s="79" t="s">
        <v>740</v>
      </c>
      <c r="E134" s="150" t="s">
        <v>741</v>
      </c>
      <c r="F134" s="79" t="s">
        <v>363</v>
      </c>
      <c r="G134" s="79" t="s">
        <v>364</v>
      </c>
      <c r="H134" s="82"/>
      <c r="I134" s="82" t="s">
        <v>70</v>
      </c>
      <c r="J134" s="82"/>
      <c r="K134" s="210"/>
    </row>
    <row r="135" spans="1:11" hidden="1">
      <c r="A135" s="79" t="s">
        <v>61</v>
      </c>
      <c r="B135" s="79">
        <v>447</v>
      </c>
      <c r="C135" s="79" t="s">
        <v>360</v>
      </c>
      <c r="D135" s="79" t="s">
        <v>361</v>
      </c>
      <c r="E135" s="150" t="s">
        <v>362</v>
      </c>
      <c r="F135" s="79" t="s">
        <v>363</v>
      </c>
      <c r="G135" s="79" t="s">
        <v>68</v>
      </c>
      <c r="H135" s="82"/>
      <c r="I135" s="82" t="s">
        <v>70</v>
      </c>
      <c r="J135" s="82"/>
      <c r="K135" s="210"/>
    </row>
    <row r="136" spans="1:11" hidden="1">
      <c r="A136" s="79" t="s">
        <v>61</v>
      </c>
      <c r="B136" s="79">
        <v>4544</v>
      </c>
      <c r="C136" s="121" t="s">
        <v>385</v>
      </c>
      <c r="D136" s="79" t="s">
        <v>386</v>
      </c>
      <c r="E136" s="150" t="s">
        <v>387</v>
      </c>
      <c r="F136" s="79" t="s">
        <v>363</v>
      </c>
      <c r="G136" s="79" t="s">
        <v>364</v>
      </c>
      <c r="H136" s="82"/>
      <c r="I136" s="82" t="s">
        <v>70</v>
      </c>
      <c r="J136" s="82"/>
      <c r="K136" s="210"/>
    </row>
    <row r="137" spans="1:11" hidden="1">
      <c r="A137" s="79" t="s">
        <v>61</v>
      </c>
      <c r="B137" s="79">
        <v>45212</v>
      </c>
      <c r="C137" s="121" t="s">
        <v>471</v>
      </c>
      <c r="D137" s="79" t="s">
        <v>472</v>
      </c>
      <c r="E137" s="150" t="s">
        <v>473</v>
      </c>
      <c r="F137" s="79" t="s">
        <v>414</v>
      </c>
      <c r="G137" s="79" t="s">
        <v>415</v>
      </c>
      <c r="H137" s="82"/>
      <c r="I137" s="82" t="s">
        <v>70</v>
      </c>
      <c r="J137" s="82"/>
      <c r="K137" s="210"/>
    </row>
    <row r="138" spans="1:11" hidden="1">
      <c r="A138" s="120" t="s">
        <v>61</v>
      </c>
      <c r="B138" s="120">
        <v>44957</v>
      </c>
      <c r="C138" s="122" t="s">
        <v>85</v>
      </c>
      <c r="D138" s="79" t="s">
        <v>86</v>
      </c>
      <c r="E138" s="153" t="s">
        <v>87</v>
      </c>
      <c r="F138" s="79" t="s">
        <v>67</v>
      </c>
      <c r="G138" s="79" t="s">
        <v>78</v>
      </c>
      <c r="H138" s="82"/>
      <c r="I138" s="82" t="s">
        <v>70</v>
      </c>
      <c r="J138" s="82"/>
      <c r="K138" s="210"/>
    </row>
    <row r="139" spans="1:11" hidden="1">
      <c r="A139" s="120" t="s">
        <v>61</v>
      </c>
      <c r="B139" s="157">
        <v>45473</v>
      </c>
      <c r="C139" s="156" t="s">
        <v>108</v>
      </c>
      <c r="D139" s="79" t="s">
        <v>109</v>
      </c>
      <c r="E139" s="161" t="s">
        <v>110</v>
      </c>
      <c r="F139" s="79" t="s">
        <v>67</v>
      </c>
      <c r="G139" s="79" t="s">
        <v>78</v>
      </c>
      <c r="H139" s="82"/>
      <c r="I139" s="82" t="s">
        <v>70</v>
      </c>
      <c r="J139" s="82"/>
      <c r="K139" s="210"/>
    </row>
    <row r="140" spans="1:11" hidden="1">
      <c r="A140" s="120" t="s">
        <v>61</v>
      </c>
      <c r="B140" s="159">
        <v>45498</v>
      </c>
      <c r="C140" s="160" t="s">
        <v>90</v>
      </c>
      <c r="D140" s="79" t="s">
        <v>91</v>
      </c>
      <c r="E140" s="164" t="s">
        <v>92</v>
      </c>
      <c r="F140" s="79" t="s">
        <v>67</v>
      </c>
      <c r="G140" s="79" t="s">
        <v>78</v>
      </c>
      <c r="H140" s="82"/>
      <c r="I140" s="82" t="s">
        <v>70</v>
      </c>
      <c r="J140" s="82"/>
      <c r="K140" s="210"/>
    </row>
    <row r="141" spans="1:11" hidden="1">
      <c r="A141" s="120" t="s">
        <v>61</v>
      </c>
      <c r="B141" s="154">
        <v>45354</v>
      </c>
      <c r="C141" s="155" t="s">
        <v>95</v>
      </c>
      <c r="D141" s="79" t="s">
        <v>96</v>
      </c>
      <c r="E141" s="163" t="s">
        <v>97</v>
      </c>
      <c r="F141" s="79" t="s">
        <v>67</v>
      </c>
      <c r="G141" s="79" t="s">
        <v>78</v>
      </c>
      <c r="H141" s="82"/>
      <c r="I141" s="82" t="s">
        <v>70</v>
      </c>
      <c r="J141" s="82"/>
      <c r="K141" s="210"/>
    </row>
    <row r="142" spans="1:11" hidden="1">
      <c r="A142" s="120" t="s">
        <v>61</v>
      </c>
      <c r="B142" s="158">
        <v>45673</v>
      </c>
      <c r="C142" s="155" t="s">
        <v>81</v>
      </c>
      <c r="D142" s="79" t="s">
        <v>82</v>
      </c>
      <c r="E142" s="162" t="s">
        <v>83</v>
      </c>
      <c r="F142" s="79" t="s">
        <v>363</v>
      </c>
      <c r="G142" s="79" t="s">
        <v>364</v>
      </c>
      <c r="H142" s="82"/>
      <c r="I142" s="82" t="s">
        <v>70</v>
      </c>
      <c r="J142" s="82"/>
      <c r="K142" s="210"/>
    </row>
    <row r="143" spans="1:11" hidden="1">
      <c r="A143" s="120" t="s">
        <v>61</v>
      </c>
      <c r="B143" s="157">
        <v>45159</v>
      </c>
      <c r="C143" s="156" t="s">
        <v>249</v>
      </c>
      <c r="D143" s="79" t="s">
        <v>250</v>
      </c>
      <c r="E143" s="165" t="s">
        <v>251</v>
      </c>
      <c r="F143" s="79" t="s">
        <v>414</v>
      </c>
      <c r="G143" s="79" t="s">
        <v>415</v>
      </c>
      <c r="H143" s="82"/>
      <c r="I143" s="82" t="s">
        <v>70</v>
      </c>
      <c r="J143" s="82"/>
      <c r="K143" s="210"/>
    </row>
    <row r="144" spans="1:11" hidden="1">
      <c r="A144" s="120" t="s">
        <v>61</v>
      </c>
      <c r="B144" s="154">
        <v>45392</v>
      </c>
      <c r="C144" s="155" t="s">
        <v>733</v>
      </c>
      <c r="D144" s="79" t="s">
        <v>734</v>
      </c>
      <c r="E144" s="163" t="s">
        <v>735</v>
      </c>
      <c r="F144" s="79" t="s">
        <v>67</v>
      </c>
      <c r="G144" s="79" t="s">
        <v>78</v>
      </c>
      <c r="H144" s="82"/>
      <c r="I144" s="82" t="s">
        <v>70</v>
      </c>
      <c r="J144" s="82"/>
      <c r="K144" s="210"/>
    </row>
    <row r="145" spans="1:11" hidden="1">
      <c r="A145" s="120" t="s">
        <v>61</v>
      </c>
      <c r="B145" s="79">
        <v>45429</v>
      </c>
      <c r="C145" s="79" t="s">
        <v>101</v>
      </c>
      <c r="D145" s="79" t="s">
        <v>102</v>
      </c>
      <c r="E145" s="150" t="s">
        <v>103</v>
      </c>
      <c r="F145" s="79" t="s">
        <v>67</v>
      </c>
      <c r="G145" s="79" t="s">
        <v>93</v>
      </c>
      <c r="H145" s="82"/>
      <c r="I145" s="82" t="s">
        <v>70</v>
      </c>
      <c r="J145" s="82"/>
      <c r="K145" s="210"/>
    </row>
  </sheetData>
  <sheetProtection selectLockedCells="1"/>
  <conditionalFormatting sqref="C145:C1048576 C133:C135 C2:C131">
    <cfRule type="duplicateValues" dxfId="42" priority="738"/>
  </conditionalFormatting>
  <conditionalFormatting sqref="D10">
    <cfRule type="duplicateValues" dxfId="41" priority="4"/>
  </conditionalFormatting>
  <conditionalFormatting sqref="D100">
    <cfRule type="duplicateValues" dxfId="40" priority="5"/>
  </conditionalFormatting>
  <conditionalFormatting sqref="E2:E142 E145:E1048576">
    <cfRule type="duplicateValues" dxfId="39" priority="1"/>
    <cfRule type="duplicateValues" dxfId="38" priority="6"/>
    <cfRule type="duplicateValues" dxfId="37" priority="7"/>
  </conditionalFormatting>
  <conditionalFormatting sqref="E2:E142">
    <cfRule type="duplicateValues" dxfId="36" priority="809"/>
  </conditionalFormatting>
  <pageMargins left="0.511811024" right="0.511811024" top="0.78740157499999996" bottom="0.78740157499999996" header="0.31496062000000002" footer="0.31496062000000002"/>
  <pageSetup paperSize="9" orientation="portrait" r:id="rId3"/>
  <headerFooter>
    <oddFooter>&amp;L_x000D_&amp;1#&amp;"Aptos"&amp;10&amp;K000000 Uso Corporativo</oddFooter>
  </headerFooter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2678-CBD0-47E7-A67F-5EF35AA73BCB}">
  <sheetPr filterMode="1"/>
  <dimension ref="A1:S20"/>
  <sheetViews>
    <sheetView workbookViewId="0">
      <selection activeCell="E4" sqref="E4"/>
    </sheetView>
  </sheetViews>
  <sheetFormatPr defaultRowHeight="15"/>
  <cols>
    <col min="1" max="1" width="3" bestFit="1" customWidth="1"/>
    <col min="2" max="2" width="22.85546875" bestFit="1" customWidth="1"/>
    <col min="3" max="4" width="9.85546875" customWidth="1"/>
    <col min="5" max="5" width="35.140625" customWidth="1"/>
    <col min="6" max="6" width="24.140625" customWidth="1"/>
    <col min="7" max="7" width="13.28515625" customWidth="1"/>
    <col min="8" max="8" width="27.140625" customWidth="1"/>
    <col min="9" max="9" width="11" bestFit="1" customWidth="1"/>
    <col min="10" max="10" width="11.140625" bestFit="1" customWidth="1"/>
    <col min="11" max="11" width="6.85546875" bestFit="1" customWidth="1"/>
    <col min="12" max="12" width="10.140625" bestFit="1" customWidth="1"/>
    <col min="13" max="13" width="7.5703125" bestFit="1" customWidth="1"/>
    <col min="14" max="14" width="16.140625" bestFit="1" customWidth="1"/>
    <col min="15" max="15" width="7.28515625" bestFit="1" customWidth="1"/>
    <col min="16" max="16" width="12.28515625" bestFit="1" customWidth="1"/>
    <col min="17" max="17" width="78.28515625" bestFit="1" customWidth="1"/>
    <col min="18" max="18" width="27.42578125" bestFit="1" customWidth="1"/>
    <col min="19" max="19" width="12.28515625" bestFit="1" customWidth="1"/>
  </cols>
  <sheetData>
    <row r="1" spans="1:19">
      <c r="A1" s="181" t="s">
        <v>38</v>
      </c>
      <c r="B1" s="182" t="s">
        <v>39</v>
      </c>
      <c r="C1" s="182" t="s">
        <v>40</v>
      </c>
      <c r="D1" s="182"/>
      <c r="E1" s="182" t="s">
        <v>41</v>
      </c>
      <c r="F1" s="182" t="s">
        <v>42</v>
      </c>
      <c r="G1" s="182" t="s">
        <v>43</v>
      </c>
      <c r="H1" s="182" t="s">
        <v>44</v>
      </c>
      <c r="I1" s="182" t="s">
        <v>45</v>
      </c>
      <c r="J1" s="182" t="s">
        <v>46</v>
      </c>
      <c r="K1" s="183" t="s">
        <v>47</v>
      </c>
      <c r="L1" s="184" t="s">
        <v>48</v>
      </c>
      <c r="M1" s="184" t="s">
        <v>49</v>
      </c>
      <c r="N1" s="182" t="s">
        <v>50</v>
      </c>
      <c r="O1" s="185" t="s">
        <v>51</v>
      </c>
      <c r="P1" s="186" t="s">
        <v>52</v>
      </c>
      <c r="Q1" s="187" t="s">
        <v>53</v>
      </c>
      <c r="R1" s="188" t="s">
        <v>56</v>
      </c>
      <c r="S1" s="189" t="s">
        <v>57</v>
      </c>
    </row>
    <row r="2" spans="1:19" hidden="1">
      <c r="A2" s="167" t="s">
        <v>61</v>
      </c>
      <c r="B2" s="168" t="s">
        <v>780</v>
      </c>
      <c r="C2" s="168" t="s">
        <v>781</v>
      </c>
      <c r="D2" s="168"/>
      <c r="E2" s="168" t="s">
        <v>782</v>
      </c>
      <c r="F2" s="169" t="s">
        <v>783</v>
      </c>
      <c r="G2" s="170" t="s">
        <v>784</v>
      </c>
      <c r="H2" s="168" t="s">
        <v>785</v>
      </c>
      <c r="I2" s="168"/>
      <c r="J2" s="171"/>
      <c r="K2" s="190"/>
      <c r="L2" s="172"/>
      <c r="M2" s="172"/>
      <c r="N2" s="170" t="s">
        <v>784</v>
      </c>
      <c r="O2" s="174"/>
      <c r="P2" s="175"/>
      <c r="Q2" s="176"/>
      <c r="R2" s="176" t="s">
        <v>786</v>
      </c>
      <c r="S2" s="177" t="s">
        <v>787</v>
      </c>
    </row>
    <row r="3" spans="1:19" hidden="1">
      <c r="A3" s="167" t="s">
        <v>61</v>
      </c>
      <c r="B3" s="168" t="s">
        <v>788</v>
      </c>
      <c r="C3" s="168" t="s">
        <v>789</v>
      </c>
      <c r="D3" s="168"/>
      <c r="E3" s="168" t="s">
        <v>613</v>
      </c>
      <c r="F3" s="169" t="s">
        <v>790</v>
      </c>
      <c r="G3" s="170" t="s">
        <v>784</v>
      </c>
      <c r="H3" s="168" t="s">
        <v>786</v>
      </c>
      <c r="I3" s="168"/>
      <c r="J3" s="171"/>
      <c r="K3" s="171"/>
      <c r="L3" s="191"/>
      <c r="M3" s="191"/>
      <c r="N3" s="170" t="s">
        <v>784</v>
      </c>
      <c r="O3" s="174"/>
      <c r="P3" s="175"/>
      <c r="Q3" s="192"/>
      <c r="R3" s="176" t="s">
        <v>786</v>
      </c>
      <c r="S3" s="177" t="s">
        <v>787</v>
      </c>
    </row>
    <row r="4" spans="1:19">
      <c r="A4" s="167" t="s">
        <v>61</v>
      </c>
      <c r="B4" s="168"/>
      <c r="C4" s="168" t="s">
        <v>791</v>
      </c>
      <c r="D4" s="168"/>
      <c r="E4" s="168" t="s">
        <v>792</v>
      </c>
      <c r="F4" s="169" t="s">
        <v>793</v>
      </c>
      <c r="G4" s="170" t="s">
        <v>784</v>
      </c>
      <c r="H4" s="168" t="s">
        <v>785</v>
      </c>
      <c r="I4" s="168"/>
      <c r="J4" s="171"/>
      <c r="K4" s="171"/>
      <c r="L4" s="191"/>
      <c r="M4" s="191"/>
      <c r="N4" s="170" t="s">
        <v>784</v>
      </c>
      <c r="O4" s="174"/>
      <c r="P4" s="175"/>
      <c r="Q4" s="192"/>
      <c r="R4" s="176" t="s">
        <v>786</v>
      </c>
      <c r="S4" s="177" t="s">
        <v>787</v>
      </c>
    </row>
    <row r="5" spans="1:19" hidden="1">
      <c r="A5" s="167" t="s">
        <v>61</v>
      </c>
      <c r="B5" s="168" t="s">
        <v>794</v>
      </c>
      <c r="C5" s="168" t="s">
        <v>795</v>
      </c>
      <c r="D5" s="168"/>
      <c r="E5" s="168" t="s">
        <v>796</v>
      </c>
      <c r="F5" s="169" t="s">
        <v>790</v>
      </c>
      <c r="G5" s="170" t="s">
        <v>784</v>
      </c>
      <c r="H5" s="168" t="s">
        <v>785</v>
      </c>
      <c r="I5" s="168"/>
      <c r="J5" s="171"/>
      <c r="K5" s="171"/>
      <c r="L5" s="191"/>
      <c r="M5" s="191"/>
      <c r="N5" s="170" t="s">
        <v>784</v>
      </c>
      <c r="O5" s="174"/>
      <c r="P5" s="175"/>
      <c r="Q5" s="192"/>
      <c r="R5" s="176" t="s">
        <v>786</v>
      </c>
      <c r="S5" s="177" t="s">
        <v>787</v>
      </c>
    </row>
    <row r="6" spans="1:19" hidden="1">
      <c r="A6" s="167" t="s">
        <v>61</v>
      </c>
      <c r="B6" s="168" t="s">
        <v>797</v>
      </c>
      <c r="C6" s="168" t="s">
        <v>780</v>
      </c>
      <c r="D6" s="168"/>
      <c r="E6" s="168" t="s">
        <v>798</v>
      </c>
      <c r="F6" s="169" t="s">
        <v>783</v>
      </c>
      <c r="G6" s="170" t="s">
        <v>784</v>
      </c>
      <c r="H6" s="168" t="s">
        <v>785</v>
      </c>
      <c r="I6" s="168"/>
      <c r="J6" s="171"/>
      <c r="K6" s="171"/>
      <c r="L6" s="191"/>
      <c r="M6" s="191"/>
      <c r="N6" s="170" t="s">
        <v>784</v>
      </c>
      <c r="O6" s="174"/>
      <c r="P6" s="175"/>
      <c r="Q6" s="192"/>
      <c r="R6" s="176" t="s">
        <v>786</v>
      </c>
      <c r="S6" s="177" t="s">
        <v>787</v>
      </c>
    </row>
    <row r="7" spans="1:19" hidden="1">
      <c r="A7" s="167" t="s">
        <v>61</v>
      </c>
      <c r="B7" s="168"/>
      <c r="C7" s="168" t="s">
        <v>799</v>
      </c>
      <c r="D7" s="168"/>
      <c r="E7" s="168" t="s">
        <v>800</v>
      </c>
      <c r="F7" s="169" t="s">
        <v>801</v>
      </c>
      <c r="G7" s="170" t="s">
        <v>784</v>
      </c>
      <c r="H7" s="168" t="s">
        <v>802</v>
      </c>
      <c r="I7" s="168"/>
      <c r="J7" s="171"/>
      <c r="K7" s="171"/>
      <c r="L7" s="191"/>
      <c r="M7" s="191"/>
      <c r="N7" s="170" t="s">
        <v>784</v>
      </c>
      <c r="O7" s="174"/>
      <c r="P7" s="175"/>
      <c r="Q7" s="192"/>
      <c r="R7" s="176" t="s">
        <v>786</v>
      </c>
      <c r="S7" s="177" t="s">
        <v>787</v>
      </c>
    </row>
    <row r="8" spans="1:19" hidden="1">
      <c r="A8" s="167" t="s">
        <v>61</v>
      </c>
      <c r="B8" s="168"/>
      <c r="C8" s="168" t="s">
        <v>803</v>
      </c>
      <c r="D8" s="168"/>
      <c r="E8" s="168" t="s">
        <v>804</v>
      </c>
      <c r="F8" s="169" t="s">
        <v>805</v>
      </c>
      <c r="G8" s="170" t="s">
        <v>784</v>
      </c>
      <c r="H8" s="168" t="s">
        <v>802</v>
      </c>
      <c r="I8" s="168"/>
      <c r="J8" s="171"/>
      <c r="K8" s="171"/>
      <c r="L8" s="191"/>
      <c r="M8" s="191"/>
      <c r="N8" s="170" t="s">
        <v>784</v>
      </c>
      <c r="O8" s="174"/>
      <c r="P8" s="175"/>
      <c r="Q8" s="192"/>
      <c r="R8" s="176" t="s">
        <v>786</v>
      </c>
      <c r="S8" s="177" t="s">
        <v>787</v>
      </c>
    </row>
    <row r="9" spans="1:19" hidden="1">
      <c r="A9" s="167" t="s">
        <v>61</v>
      </c>
      <c r="B9" s="168"/>
      <c r="C9" s="168" t="s">
        <v>806</v>
      </c>
      <c r="D9" s="168"/>
      <c r="E9" s="168" t="s">
        <v>807</v>
      </c>
      <c r="F9" s="169" t="s">
        <v>783</v>
      </c>
      <c r="G9" s="170" t="s">
        <v>784</v>
      </c>
      <c r="H9" s="168" t="s">
        <v>802</v>
      </c>
      <c r="I9" s="168"/>
      <c r="J9" s="171"/>
      <c r="K9" s="171"/>
      <c r="L9" s="191"/>
      <c r="M9" s="191"/>
      <c r="N9" s="170" t="s">
        <v>784</v>
      </c>
      <c r="O9" s="174"/>
      <c r="P9" s="175"/>
      <c r="Q9" s="192"/>
      <c r="R9" s="176" t="s">
        <v>786</v>
      </c>
      <c r="S9" s="177" t="s">
        <v>787</v>
      </c>
    </row>
    <row r="10" spans="1:19" hidden="1">
      <c r="A10" s="167" t="s">
        <v>61</v>
      </c>
      <c r="B10" s="168" t="s">
        <v>808</v>
      </c>
      <c r="C10" s="168" t="s">
        <v>809</v>
      </c>
      <c r="D10" s="168"/>
      <c r="E10" s="168" t="s">
        <v>810</v>
      </c>
      <c r="F10" s="169" t="s">
        <v>801</v>
      </c>
      <c r="G10" s="170" t="s">
        <v>784</v>
      </c>
      <c r="H10" s="168" t="s">
        <v>785</v>
      </c>
      <c r="I10" s="168"/>
      <c r="J10" s="171"/>
      <c r="K10" s="171"/>
      <c r="L10" s="191"/>
      <c r="M10" s="191"/>
      <c r="N10" s="170" t="s">
        <v>784</v>
      </c>
      <c r="O10" s="174"/>
      <c r="P10" s="175"/>
      <c r="Q10" s="192"/>
      <c r="R10" s="176" t="s">
        <v>786</v>
      </c>
      <c r="S10" s="177" t="s">
        <v>787</v>
      </c>
    </row>
    <row r="11" spans="1:19" hidden="1">
      <c r="A11" s="167" t="s">
        <v>61</v>
      </c>
      <c r="B11" s="168"/>
      <c r="C11" s="168" t="s">
        <v>811</v>
      </c>
      <c r="D11" s="168"/>
      <c r="E11" s="168" t="s">
        <v>812</v>
      </c>
      <c r="F11" s="169" t="s">
        <v>783</v>
      </c>
      <c r="G11" s="170" t="s">
        <v>784</v>
      </c>
      <c r="H11" s="168" t="s">
        <v>802</v>
      </c>
      <c r="I11" s="168"/>
      <c r="J11" s="171"/>
      <c r="K11" s="171"/>
      <c r="L11" s="191"/>
      <c r="M11" s="191"/>
      <c r="N11" s="170" t="s">
        <v>784</v>
      </c>
      <c r="O11" s="174"/>
      <c r="P11" s="175"/>
      <c r="Q11" s="192"/>
      <c r="R11" s="176" t="s">
        <v>786</v>
      </c>
      <c r="S11" s="177" t="s">
        <v>787</v>
      </c>
    </row>
    <row r="12" spans="1:19" hidden="1">
      <c r="A12" s="167" t="s">
        <v>61</v>
      </c>
      <c r="B12" s="168" t="s">
        <v>813</v>
      </c>
      <c r="C12" s="168" t="s">
        <v>814</v>
      </c>
      <c r="D12" s="168"/>
      <c r="E12" s="168" t="s">
        <v>815</v>
      </c>
      <c r="F12" s="169" t="s">
        <v>801</v>
      </c>
      <c r="G12" s="170" t="s">
        <v>784</v>
      </c>
      <c r="H12" s="168" t="s">
        <v>785</v>
      </c>
      <c r="I12" s="168"/>
      <c r="J12" s="171"/>
      <c r="K12" s="171"/>
      <c r="L12" s="191"/>
      <c r="M12" s="191"/>
      <c r="N12" s="170" t="s">
        <v>784</v>
      </c>
      <c r="O12" s="174"/>
      <c r="P12" s="175"/>
      <c r="Q12" s="192"/>
      <c r="R12" s="176" t="s">
        <v>786</v>
      </c>
      <c r="S12" s="177" t="s">
        <v>787</v>
      </c>
    </row>
    <row r="13" spans="1:19" hidden="1">
      <c r="A13" s="167" t="s">
        <v>61</v>
      </c>
      <c r="B13" s="168"/>
      <c r="C13" s="168" t="s">
        <v>816</v>
      </c>
      <c r="D13" s="168"/>
      <c r="E13" s="168" t="s">
        <v>817</v>
      </c>
      <c r="F13" s="169" t="s">
        <v>783</v>
      </c>
      <c r="G13" s="170" t="s">
        <v>784</v>
      </c>
      <c r="H13" s="168" t="s">
        <v>785</v>
      </c>
      <c r="I13" s="168"/>
      <c r="J13" s="171"/>
      <c r="K13" s="171"/>
      <c r="L13" s="191"/>
      <c r="M13" s="191"/>
      <c r="N13" s="170" t="s">
        <v>784</v>
      </c>
      <c r="O13" s="174"/>
      <c r="P13" s="175"/>
      <c r="Q13" s="192"/>
      <c r="R13" s="176" t="s">
        <v>786</v>
      </c>
      <c r="S13" s="177" t="s">
        <v>787</v>
      </c>
    </row>
    <row r="14" spans="1:19" hidden="1">
      <c r="A14" s="167" t="s">
        <v>61</v>
      </c>
      <c r="B14" s="168"/>
      <c r="C14" s="168" t="s">
        <v>818</v>
      </c>
      <c r="D14" s="168"/>
      <c r="E14" s="168" t="s">
        <v>786</v>
      </c>
      <c r="F14" s="169" t="s">
        <v>819</v>
      </c>
      <c r="G14" s="170" t="s">
        <v>784</v>
      </c>
      <c r="H14" s="168" t="s">
        <v>820</v>
      </c>
      <c r="I14" s="168"/>
      <c r="J14" s="171"/>
      <c r="K14" s="171"/>
      <c r="L14" s="191"/>
      <c r="M14" s="191"/>
      <c r="N14" s="170" t="s">
        <v>784</v>
      </c>
      <c r="O14" s="174"/>
      <c r="P14" s="175"/>
      <c r="Q14" s="192"/>
      <c r="R14" s="176" t="s">
        <v>786</v>
      </c>
      <c r="S14" s="177" t="s">
        <v>787</v>
      </c>
    </row>
    <row r="15" spans="1:19" hidden="1">
      <c r="A15" s="167" t="s">
        <v>61</v>
      </c>
      <c r="B15" s="168"/>
      <c r="C15" s="168" t="s">
        <v>821</v>
      </c>
      <c r="D15" s="168"/>
      <c r="E15" s="168" t="s">
        <v>822</v>
      </c>
      <c r="F15" s="169" t="s">
        <v>823</v>
      </c>
      <c r="G15" s="170" t="s">
        <v>784</v>
      </c>
      <c r="H15" s="168" t="s">
        <v>802</v>
      </c>
      <c r="I15" s="168"/>
      <c r="J15" s="171"/>
      <c r="K15" s="171"/>
      <c r="L15" s="191"/>
      <c r="M15" s="191"/>
      <c r="N15" s="170" t="s">
        <v>784</v>
      </c>
      <c r="O15" s="174"/>
      <c r="P15" s="175"/>
      <c r="Q15" s="192"/>
      <c r="R15" s="176" t="s">
        <v>786</v>
      </c>
      <c r="S15" s="177" t="s">
        <v>787</v>
      </c>
    </row>
    <row r="16" spans="1:19" hidden="1">
      <c r="A16" s="167" t="s">
        <v>61</v>
      </c>
      <c r="B16" s="168"/>
      <c r="C16" s="168" t="s">
        <v>824</v>
      </c>
      <c r="D16" s="168"/>
      <c r="E16" s="168" t="s">
        <v>825</v>
      </c>
      <c r="F16" s="169" t="s">
        <v>823</v>
      </c>
      <c r="G16" s="170" t="s">
        <v>784</v>
      </c>
      <c r="H16" s="168" t="s">
        <v>785</v>
      </c>
      <c r="I16" s="168"/>
      <c r="J16" s="171"/>
      <c r="K16" s="171"/>
      <c r="L16" s="191"/>
      <c r="M16" s="191"/>
      <c r="N16" s="170" t="s">
        <v>784</v>
      </c>
      <c r="O16" s="174"/>
      <c r="P16" s="175"/>
      <c r="Q16" s="192"/>
      <c r="R16" s="176" t="s">
        <v>786</v>
      </c>
      <c r="S16" s="177" t="s">
        <v>787</v>
      </c>
    </row>
    <row r="17" spans="1:19" hidden="1">
      <c r="A17" s="167" t="s">
        <v>61</v>
      </c>
      <c r="B17" s="168"/>
      <c r="C17" s="168" t="s">
        <v>826</v>
      </c>
      <c r="D17" s="168"/>
      <c r="E17" s="168" t="s">
        <v>827</v>
      </c>
      <c r="F17" s="169" t="s">
        <v>783</v>
      </c>
      <c r="G17" s="170" t="s">
        <v>784</v>
      </c>
      <c r="H17" s="168" t="s">
        <v>785</v>
      </c>
      <c r="I17" s="168"/>
      <c r="J17" s="171"/>
      <c r="K17" s="171"/>
      <c r="L17" s="191"/>
      <c r="M17" s="191"/>
      <c r="N17" s="170" t="s">
        <v>784</v>
      </c>
      <c r="O17" s="174"/>
      <c r="P17" s="175"/>
      <c r="Q17" s="192"/>
      <c r="R17" s="176" t="s">
        <v>786</v>
      </c>
      <c r="S17" s="177" t="s">
        <v>787</v>
      </c>
    </row>
    <row r="18" spans="1:19" hidden="1">
      <c r="A18" s="167" t="s">
        <v>61</v>
      </c>
      <c r="B18" s="168"/>
      <c r="C18" s="168" t="s">
        <v>828</v>
      </c>
      <c r="D18" s="168"/>
      <c r="E18" s="168" t="s">
        <v>829</v>
      </c>
      <c r="F18" s="169" t="s">
        <v>805</v>
      </c>
      <c r="G18" s="170" t="s">
        <v>784</v>
      </c>
      <c r="H18" s="168" t="s">
        <v>802</v>
      </c>
      <c r="I18" s="168"/>
      <c r="J18" s="171"/>
      <c r="K18" s="171"/>
      <c r="L18" s="191"/>
      <c r="M18" s="191"/>
      <c r="N18" s="170" t="s">
        <v>784</v>
      </c>
      <c r="O18" s="174"/>
      <c r="P18" s="175"/>
      <c r="Q18" s="192"/>
      <c r="R18" s="176" t="s">
        <v>786</v>
      </c>
      <c r="S18" s="177" t="s">
        <v>787</v>
      </c>
    </row>
    <row r="19" spans="1:19" hidden="1">
      <c r="A19" s="167" t="s">
        <v>61</v>
      </c>
      <c r="B19" s="168"/>
      <c r="C19" s="168" t="s">
        <v>830</v>
      </c>
      <c r="D19" s="168"/>
      <c r="E19" s="168" t="s">
        <v>831</v>
      </c>
      <c r="F19" s="169" t="s">
        <v>790</v>
      </c>
      <c r="G19" s="170" t="s">
        <v>784</v>
      </c>
      <c r="H19" s="168" t="s">
        <v>786</v>
      </c>
      <c r="I19" s="168"/>
      <c r="J19" s="171"/>
      <c r="K19" s="171"/>
      <c r="L19" s="191"/>
      <c r="M19" s="191"/>
      <c r="N19" s="170" t="s">
        <v>784</v>
      </c>
      <c r="O19" s="174"/>
      <c r="P19" s="175"/>
      <c r="Q19" s="192"/>
      <c r="R19" s="176" t="s">
        <v>786</v>
      </c>
      <c r="S19" s="177" t="s">
        <v>787</v>
      </c>
    </row>
    <row r="20" spans="1:19" hidden="1">
      <c r="A20" s="167" t="s">
        <v>61</v>
      </c>
      <c r="B20" s="168"/>
      <c r="C20" s="168" t="s">
        <v>832</v>
      </c>
      <c r="D20" s="168"/>
      <c r="E20" s="168" t="s">
        <v>833</v>
      </c>
      <c r="F20" s="169" t="s">
        <v>783</v>
      </c>
      <c r="G20" s="170" t="s">
        <v>784</v>
      </c>
      <c r="H20" s="168" t="s">
        <v>785</v>
      </c>
      <c r="I20" s="168"/>
      <c r="J20" s="171"/>
      <c r="K20" s="171"/>
      <c r="L20" s="191"/>
      <c r="M20" s="191"/>
      <c r="N20" s="170" t="s">
        <v>784</v>
      </c>
      <c r="O20" s="174"/>
      <c r="P20" s="175"/>
      <c r="Q20" s="192"/>
      <c r="R20" s="176" t="s">
        <v>786</v>
      </c>
      <c r="S20" s="177" t="s">
        <v>787</v>
      </c>
    </row>
  </sheetData>
  <autoFilter ref="E1:S20" xr:uid="{D6FE2678-CBD0-47E7-A67F-5EF35AA73BCB}">
    <filterColumn colId="0">
      <filters>
        <filter val="ANDRE HARTMANN"/>
      </filters>
    </filterColumn>
  </autoFilter>
  <sortState xmlns:xlrd2="http://schemas.microsoft.com/office/spreadsheetml/2017/richdata2" ref="E2:S20">
    <sortCondition ref="E2:E20"/>
  </sortState>
  <conditionalFormatting sqref="B1:B20">
    <cfRule type="duplicateValues" dxfId="35" priority="15"/>
  </conditionalFormatting>
  <conditionalFormatting sqref="C2:D20">
    <cfRule type="duplicateValues" dxfId="34" priority="9"/>
  </conditionalFormatting>
  <conditionalFormatting sqref="E2:E20">
    <cfRule type="duplicateValues" dxfId="33" priority="7"/>
  </conditionalFormatting>
  <conditionalFormatting sqref="H17">
    <cfRule type="duplicateValues" dxfId="32" priority="5"/>
  </conditionalFormatting>
  <conditionalFormatting sqref="H19">
    <cfRule type="duplicateValues" dxfId="31" priority="3"/>
  </conditionalFormatting>
  <conditionalFormatting sqref="K1:M20">
    <cfRule type="cellIs" dxfId="30" priority="1" operator="equal">
      <formula>"Desligado"</formula>
    </cfRule>
  </conditionalFormatting>
  <conditionalFormatting sqref="M2:M20">
    <cfRule type="cellIs" dxfId="29" priority="11" operator="equal">
      <formula>"Baixa"</formula>
    </cfRule>
  </conditionalFormatting>
  <dataValidations count="1">
    <dataValidation type="list" allowBlank="1" showInputMessage="1" showErrorMessage="1" sqref="M2:M4" xr:uid="{6272807E-C0F4-4146-805B-7FBF818280F4}">
      <formula1>"Baixa"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CE4883-2C4C-4B0A-AF82-6F3F4048B024}">
          <x14:formula1>
            <xm:f>'Lista Pendencia'!$A$1:$A$16</xm:f>
          </x14:formula1>
          <xm:sqref>K2:L4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00B56-1E7C-4F57-B6C5-82A84351C3E9}">
  <dimension ref="A1:R13"/>
  <sheetViews>
    <sheetView showGridLines="0" workbookViewId="0">
      <selection activeCell="R11" sqref="R11"/>
    </sheetView>
  </sheetViews>
  <sheetFormatPr defaultRowHeight="15" outlineLevelCol="1"/>
  <cols>
    <col min="1" max="1" width="7.28515625" bestFit="1" customWidth="1"/>
    <col min="2" max="3" width="11.28515625" customWidth="1"/>
    <col min="4" max="4" width="30.85546875" style="137" customWidth="1"/>
    <col min="5" max="5" width="18.42578125" customWidth="1"/>
    <col min="6" max="6" width="14.85546875" hidden="1" customWidth="1" outlineLevel="1"/>
    <col min="7" max="7" width="17.140625" hidden="1" customWidth="1" outlineLevel="1"/>
    <col min="8" max="8" width="15.42578125" hidden="1" customWidth="1" outlineLevel="1"/>
    <col min="9" max="9" width="15" hidden="1" customWidth="1" outlineLevel="1"/>
    <col min="10" max="10" width="11.42578125" hidden="1" customWidth="1" outlineLevel="1"/>
    <col min="11" max="11" width="15.7109375" hidden="1" customWidth="1" outlineLevel="1"/>
    <col min="12" max="12" width="12.140625" hidden="1" customWidth="1" outlineLevel="1"/>
    <col min="13" max="13" width="20.42578125" hidden="1" customWidth="1" outlineLevel="1"/>
    <col min="14" max="14" width="11.7109375" hidden="1" customWidth="1" outlineLevel="1"/>
    <col min="15" max="15" width="17" hidden="1" customWidth="1" outlineLevel="1"/>
    <col min="16" max="16" width="29.85546875" customWidth="1" collapsed="1"/>
    <col min="17" max="17" width="19.5703125" hidden="1" customWidth="1" outlineLevel="1"/>
    <col min="18" max="18" width="12.85546875" bestFit="1" customWidth="1" collapsed="1"/>
  </cols>
  <sheetData>
    <row r="1" spans="1:18">
      <c r="A1" s="92" t="s">
        <v>38</v>
      </c>
      <c r="B1" s="92" t="s">
        <v>39</v>
      </c>
      <c r="C1" s="92" t="s">
        <v>40</v>
      </c>
      <c r="D1" s="149" t="s">
        <v>41</v>
      </c>
      <c r="E1" s="92" t="s">
        <v>42</v>
      </c>
      <c r="F1" s="92" t="s">
        <v>43</v>
      </c>
      <c r="G1" s="92" t="s">
        <v>44</v>
      </c>
      <c r="H1" s="92" t="s">
        <v>45</v>
      </c>
      <c r="I1" s="92" t="s">
        <v>46</v>
      </c>
      <c r="J1" s="93" t="s">
        <v>47</v>
      </c>
      <c r="K1" s="249" t="s">
        <v>48</v>
      </c>
      <c r="L1" s="249" t="s">
        <v>49</v>
      </c>
      <c r="M1" s="92" t="s">
        <v>50</v>
      </c>
      <c r="N1" s="94" t="s">
        <v>51</v>
      </c>
      <c r="O1" s="95" t="s">
        <v>52</v>
      </c>
      <c r="P1" s="96" t="s">
        <v>53</v>
      </c>
      <c r="Q1" s="78" t="s">
        <v>56</v>
      </c>
      <c r="R1" s="78" t="s">
        <v>57</v>
      </c>
    </row>
    <row r="2" spans="1:18">
      <c r="A2" s="79" t="s">
        <v>61</v>
      </c>
      <c r="B2" s="79" t="s">
        <v>571</v>
      </c>
      <c r="C2" s="79" t="s">
        <v>572</v>
      </c>
      <c r="D2" s="250" t="s">
        <v>573</v>
      </c>
      <c r="E2" s="83" t="s">
        <v>574</v>
      </c>
      <c r="F2" s="85" t="s">
        <v>784</v>
      </c>
      <c r="G2" s="79" t="s">
        <v>834</v>
      </c>
      <c r="H2" s="79"/>
      <c r="I2" s="81"/>
      <c r="J2" s="102"/>
      <c r="K2" s="130"/>
      <c r="L2" s="131"/>
      <c r="M2" s="85"/>
      <c r="N2" s="87"/>
      <c r="O2" s="86"/>
      <c r="P2" s="148" t="s">
        <v>835</v>
      </c>
      <c r="Q2" s="82" t="s">
        <v>836</v>
      </c>
      <c r="R2" s="319" t="s">
        <v>205</v>
      </c>
    </row>
    <row r="3" spans="1:18">
      <c r="A3" s="79" t="s">
        <v>61</v>
      </c>
      <c r="B3" s="79" t="s">
        <v>304</v>
      </c>
      <c r="C3" s="79" t="s">
        <v>305</v>
      </c>
      <c r="D3" s="250" t="s">
        <v>306</v>
      </c>
      <c r="E3" s="83" t="s">
        <v>256</v>
      </c>
      <c r="F3" s="85" t="s">
        <v>784</v>
      </c>
      <c r="G3" s="79" t="s">
        <v>834</v>
      </c>
      <c r="H3" s="79"/>
      <c r="I3" s="81"/>
      <c r="J3" s="102"/>
      <c r="K3" s="130"/>
      <c r="L3" s="131"/>
      <c r="M3" s="85"/>
      <c r="N3" s="87"/>
      <c r="O3" s="86"/>
      <c r="P3" s="148" t="s">
        <v>835</v>
      </c>
      <c r="Q3" s="82" t="s">
        <v>836</v>
      </c>
      <c r="R3" s="319" t="s">
        <v>837</v>
      </c>
    </row>
    <row r="4" spans="1:18">
      <c r="A4" s="79" t="s">
        <v>61</v>
      </c>
      <c r="B4" s="79" t="s">
        <v>838</v>
      </c>
      <c r="C4" s="79" t="s">
        <v>839</v>
      </c>
      <c r="D4" s="250" t="s">
        <v>840</v>
      </c>
      <c r="E4" s="83" t="s">
        <v>578</v>
      </c>
      <c r="F4" s="85" t="s">
        <v>784</v>
      </c>
      <c r="G4" s="79" t="s">
        <v>834</v>
      </c>
      <c r="H4" s="79"/>
      <c r="I4" s="81"/>
      <c r="J4" s="102"/>
      <c r="K4" s="130"/>
      <c r="L4" s="131"/>
      <c r="M4" s="85"/>
      <c r="N4" s="87"/>
      <c r="O4" s="86"/>
      <c r="P4" s="148"/>
      <c r="Q4" s="82" t="s">
        <v>836</v>
      </c>
      <c r="R4" s="82" t="s">
        <v>124</v>
      </c>
    </row>
    <row r="5" spans="1:18">
      <c r="A5" s="79" t="s">
        <v>61</v>
      </c>
      <c r="B5" s="79" t="s">
        <v>575</v>
      </c>
      <c r="C5" s="79" t="s">
        <v>576</v>
      </c>
      <c r="D5" s="250" t="s">
        <v>577</v>
      </c>
      <c r="E5" s="83" t="s">
        <v>578</v>
      </c>
      <c r="F5" s="85" t="s">
        <v>784</v>
      </c>
      <c r="G5" s="79" t="s">
        <v>834</v>
      </c>
      <c r="H5" s="79"/>
      <c r="I5" s="81"/>
      <c r="J5" s="102"/>
      <c r="K5" s="130"/>
      <c r="L5" s="131"/>
      <c r="M5" s="85"/>
      <c r="N5" s="87"/>
      <c r="O5" s="86"/>
      <c r="P5" s="148" t="s">
        <v>835</v>
      </c>
      <c r="Q5" s="82" t="s">
        <v>836</v>
      </c>
      <c r="R5" s="82" t="s">
        <v>841</v>
      </c>
    </row>
    <row r="6" spans="1:18">
      <c r="A6" s="79" t="s">
        <v>61</v>
      </c>
      <c r="B6" s="79" t="s">
        <v>404</v>
      </c>
      <c r="C6" s="79" t="s">
        <v>842</v>
      </c>
      <c r="D6" s="250" t="s">
        <v>405</v>
      </c>
      <c r="E6" s="83" t="s">
        <v>310</v>
      </c>
      <c r="F6" s="85" t="s">
        <v>784</v>
      </c>
      <c r="G6" s="79" t="s">
        <v>834</v>
      </c>
      <c r="H6" s="79"/>
      <c r="I6" s="81"/>
      <c r="J6" s="102"/>
      <c r="K6" s="130"/>
      <c r="L6" s="131"/>
      <c r="M6" s="85"/>
      <c r="N6" s="87"/>
      <c r="O6" s="86"/>
      <c r="P6" s="254" t="s">
        <v>843</v>
      </c>
      <c r="Q6" s="82" t="s">
        <v>836</v>
      </c>
      <c r="R6" s="82" t="s">
        <v>79</v>
      </c>
    </row>
    <row r="7" spans="1:18">
      <c r="A7" s="79" t="s">
        <v>61</v>
      </c>
      <c r="B7" s="79" t="s">
        <v>844</v>
      </c>
      <c r="C7" s="79" t="s">
        <v>845</v>
      </c>
      <c r="D7" s="250" t="s">
        <v>846</v>
      </c>
      <c r="E7" s="83" t="s">
        <v>310</v>
      </c>
      <c r="F7" s="85" t="s">
        <v>784</v>
      </c>
      <c r="G7" s="79" t="s">
        <v>834</v>
      </c>
      <c r="H7" s="79"/>
      <c r="I7" s="81"/>
      <c r="J7" s="102"/>
      <c r="K7" s="130"/>
      <c r="L7" s="131"/>
      <c r="M7" s="85"/>
      <c r="N7" s="87"/>
      <c r="O7" s="86"/>
      <c r="P7" s="148"/>
      <c r="Q7" s="82" t="s">
        <v>836</v>
      </c>
      <c r="R7" s="82" t="s">
        <v>847</v>
      </c>
    </row>
    <row r="8" spans="1:18">
      <c r="A8" s="79" t="s">
        <v>61</v>
      </c>
      <c r="B8" s="79" t="s">
        <v>848</v>
      </c>
      <c r="C8" s="79" t="s">
        <v>849</v>
      </c>
      <c r="D8" s="250" t="s">
        <v>850</v>
      </c>
      <c r="E8" s="83" t="s">
        <v>256</v>
      </c>
      <c r="F8" s="85" t="s">
        <v>784</v>
      </c>
      <c r="G8" s="79" t="s">
        <v>834</v>
      </c>
      <c r="H8" s="79"/>
      <c r="I8" s="81"/>
      <c r="J8" s="102"/>
      <c r="K8" s="130"/>
      <c r="L8" s="131"/>
      <c r="M8" s="85"/>
      <c r="N8" s="87"/>
      <c r="O8" s="86"/>
      <c r="P8" s="148"/>
      <c r="Q8" s="82" t="s">
        <v>836</v>
      </c>
      <c r="R8" s="82" t="s">
        <v>851</v>
      </c>
    </row>
    <row r="9" spans="1:18">
      <c r="A9" s="79" t="s">
        <v>61</v>
      </c>
      <c r="B9" s="79" t="s">
        <v>253</v>
      </c>
      <c r="C9" s="79" t="s">
        <v>254</v>
      </c>
      <c r="D9" s="250" t="s">
        <v>255</v>
      </c>
      <c r="E9" s="83" t="s">
        <v>256</v>
      </c>
      <c r="F9" s="85" t="s">
        <v>784</v>
      </c>
      <c r="G9" s="79" t="s">
        <v>834</v>
      </c>
      <c r="H9" s="79"/>
      <c r="I9" s="81"/>
      <c r="J9" s="102"/>
      <c r="K9" s="130"/>
      <c r="L9" s="131"/>
      <c r="M9" s="85"/>
      <c r="N9" s="87"/>
      <c r="O9" s="86"/>
      <c r="P9" s="148" t="s">
        <v>835</v>
      </c>
      <c r="Q9" s="82" t="s">
        <v>836</v>
      </c>
      <c r="R9" s="82" t="s">
        <v>209</v>
      </c>
    </row>
    <row r="10" spans="1:18">
      <c r="A10" s="79" t="s">
        <v>61</v>
      </c>
      <c r="B10" s="79" t="s">
        <v>307</v>
      </c>
      <c r="C10" s="79" t="s">
        <v>308</v>
      </c>
      <c r="D10" s="250" t="s">
        <v>309</v>
      </c>
      <c r="E10" s="83" t="s">
        <v>310</v>
      </c>
      <c r="F10" s="85" t="s">
        <v>784</v>
      </c>
      <c r="G10" s="79" t="s">
        <v>834</v>
      </c>
      <c r="H10" s="79"/>
      <c r="I10" s="81"/>
      <c r="J10" s="102"/>
      <c r="K10" s="130"/>
      <c r="L10" s="131"/>
      <c r="M10" s="85"/>
      <c r="N10" s="87"/>
      <c r="O10" s="86"/>
      <c r="P10" s="148" t="s">
        <v>835</v>
      </c>
      <c r="Q10" s="82" t="s">
        <v>836</v>
      </c>
      <c r="R10" s="82" t="s">
        <v>180</v>
      </c>
    </row>
    <row r="11" spans="1:18">
      <c r="A11" s="79" t="s">
        <v>61</v>
      </c>
      <c r="B11" s="79" t="s">
        <v>852</v>
      </c>
      <c r="C11" s="79" t="s">
        <v>852</v>
      </c>
      <c r="D11" s="250" t="s">
        <v>853</v>
      </c>
      <c r="E11" s="83" t="s">
        <v>310</v>
      </c>
      <c r="F11" s="85" t="s">
        <v>784</v>
      </c>
      <c r="G11" s="79" t="s">
        <v>834</v>
      </c>
      <c r="H11" s="79"/>
      <c r="I11" s="81"/>
      <c r="J11" s="102"/>
      <c r="K11" s="130"/>
      <c r="L11" s="130"/>
      <c r="M11" s="85"/>
      <c r="N11" s="87"/>
      <c r="O11" s="86"/>
      <c r="P11" s="82"/>
      <c r="Q11" s="82" t="s">
        <v>836</v>
      </c>
      <c r="R11" s="319" t="s">
        <v>854</v>
      </c>
    </row>
    <row r="12" spans="1:18">
      <c r="A12" s="79" t="s">
        <v>61</v>
      </c>
      <c r="B12" s="79" t="s">
        <v>855</v>
      </c>
      <c r="C12" s="79" t="s">
        <v>856</v>
      </c>
      <c r="D12" s="250" t="s">
        <v>857</v>
      </c>
      <c r="E12" s="83" t="s">
        <v>256</v>
      </c>
      <c r="F12" s="85" t="s">
        <v>784</v>
      </c>
      <c r="G12" s="79" t="s">
        <v>834</v>
      </c>
      <c r="H12" s="79"/>
      <c r="I12" s="81"/>
      <c r="J12" s="102"/>
      <c r="K12" s="130"/>
      <c r="L12" s="131"/>
      <c r="M12" s="85"/>
      <c r="N12" s="87"/>
      <c r="O12" s="86"/>
      <c r="P12" s="148"/>
      <c r="Q12" s="82" t="s">
        <v>836</v>
      </c>
      <c r="R12" s="82" t="s">
        <v>858</v>
      </c>
    </row>
    <row r="13" spans="1:18">
      <c r="A13" s="79" t="s">
        <v>61</v>
      </c>
      <c r="B13" s="79" t="s">
        <v>189</v>
      </c>
      <c r="C13" s="79" t="s">
        <v>190</v>
      </c>
      <c r="D13" s="250" t="s">
        <v>191</v>
      </c>
      <c r="E13" s="83" t="s">
        <v>256</v>
      </c>
      <c r="F13" s="85" t="s">
        <v>784</v>
      </c>
      <c r="G13" s="79" t="s">
        <v>834</v>
      </c>
      <c r="H13" s="79"/>
      <c r="I13" s="81"/>
      <c r="J13" s="102"/>
      <c r="K13" s="130"/>
      <c r="L13" s="131"/>
      <c r="M13" s="85"/>
      <c r="N13" s="87"/>
      <c r="O13" s="86"/>
      <c r="P13" s="253" t="s">
        <v>859</v>
      </c>
      <c r="Q13" s="82" t="s">
        <v>836</v>
      </c>
      <c r="R13" s="82" t="s">
        <v>860</v>
      </c>
    </row>
  </sheetData>
  <conditionalFormatting sqref="B1:B13">
    <cfRule type="duplicateValues" dxfId="28" priority="844"/>
  </conditionalFormatting>
  <conditionalFormatting sqref="C2:C13">
    <cfRule type="duplicateValues" dxfId="27" priority="845"/>
  </conditionalFormatting>
  <conditionalFormatting sqref="D2:D13">
    <cfRule type="duplicateValues" dxfId="26" priority="846"/>
  </conditionalFormatting>
  <conditionalFormatting sqref="J1:L13">
    <cfRule type="cellIs" dxfId="25" priority="1" operator="equal">
      <formula>"Desligado"</formula>
    </cfRule>
  </conditionalFormatting>
  <conditionalFormatting sqref="L2:L13">
    <cfRule type="cellIs" dxfId="24" priority="6" operator="equal">
      <formula>"Baixa"</formula>
    </cfRule>
  </conditionalFormatting>
  <dataValidations count="2">
    <dataValidation type="list" allowBlank="1" showInputMessage="1" showErrorMessage="1" sqref="L2:L4" xr:uid="{C7CEDDD0-ED35-4C3D-B523-3C280161E11D}">
      <formula1>"Baixa"</formula1>
    </dataValidation>
    <dataValidation type="list" allowBlank="1" showInputMessage="1" showErrorMessage="1" sqref="J2:K13" xr:uid="{7584460E-4057-4647-A638-55E4EDEAA5ED}">
      <formula1>"Afastado, Atestado, Consulta Medica, Desligado, Duplado, Em Contratação, Falta, Folga, Luto Familiar, Outros, RH, Saude, Treinamento, Veiculo Avaria, Veiculo Manutenção, Renovação de CNH, Sistemico, Técnico de Dados"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EB24-3E21-4729-95EF-8A50DB26F3EA}">
  <dimension ref="A1:AB158"/>
  <sheetViews>
    <sheetView showGridLines="0" zoomScale="115" zoomScaleNormal="115" workbookViewId="0">
      <selection activeCell="D37" sqref="D37"/>
    </sheetView>
  </sheetViews>
  <sheetFormatPr defaultRowHeight="15" outlineLevelCol="2"/>
  <cols>
    <col min="1" max="1" width="7" bestFit="1" customWidth="1"/>
    <col min="2" max="2" width="8.7109375" customWidth="1"/>
    <col min="3" max="3" width="9" bestFit="1" customWidth="1"/>
    <col min="4" max="4" width="29" customWidth="1"/>
    <col min="5" max="5" width="19.28515625" hidden="1" customWidth="1" outlineLevel="1"/>
    <col min="6" max="6" width="13.7109375" hidden="1" customWidth="1" outlineLevel="1"/>
    <col min="7" max="7" width="23.5703125" customWidth="1" collapsed="1"/>
    <col min="8" max="8" width="17.7109375" customWidth="1"/>
    <col min="9" max="9" width="17.85546875" hidden="1" customWidth="1" outlineLevel="1"/>
    <col min="10" max="12" width="17" hidden="1" customWidth="1" outlineLevel="1"/>
    <col min="13" max="13" width="15.28515625" customWidth="1" collapsed="1"/>
    <col min="14" max="14" width="15.5703125" customWidth="1"/>
    <col min="15" max="15" width="14.28515625" bestFit="1" customWidth="1"/>
    <col min="16" max="16" width="22" hidden="1" customWidth="1" outlineLevel="1"/>
    <col min="17" max="17" width="11.7109375" style="88" hidden="1" customWidth="1" outlineLevel="2"/>
    <col min="18" max="18" width="17" style="77" hidden="1" customWidth="1" outlineLevel="2"/>
    <col min="19" max="19" width="20.85546875" style="137" hidden="1" customWidth="1" outlineLevel="1" collapsed="1"/>
    <col min="20" max="21" width="20.85546875" hidden="1" customWidth="1" outlineLevel="1"/>
    <col min="22" max="22" width="16" hidden="1" customWidth="1" outlineLevel="2"/>
    <col min="23" max="23" width="19" hidden="1" customWidth="1" outlineLevel="2"/>
    <col min="24" max="24" width="4.140625" hidden="1" customWidth="1" outlineLevel="2"/>
    <col min="25" max="25" width="9" hidden="1" customWidth="1" outlineLevel="2"/>
    <col min="26" max="26" width="2.140625" hidden="1" customWidth="1" outlineLevel="1" collapsed="1"/>
    <col min="27" max="27" width="9.140625" hidden="1" customWidth="1" outlineLevel="1"/>
    <col min="28" max="28" width="9.140625" collapsed="1"/>
  </cols>
  <sheetData>
    <row r="1" spans="1:26">
      <c r="A1" s="92" t="s">
        <v>38</v>
      </c>
      <c r="B1" s="92" t="s">
        <v>39</v>
      </c>
      <c r="C1" s="92" t="s">
        <v>40</v>
      </c>
      <c r="D1" s="92" t="s">
        <v>41</v>
      </c>
      <c r="E1" s="92" t="s">
        <v>42</v>
      </c>
      <c r="F1" s="92" t="s">
        <v>43</v>
      </c>
      <c r="G1" s="92" t="s">
        <v>44</v>
      </c>
      <c r="H1" s="92" t="s">
        <v>45</v>
      </c>
      <c r="I1" s="92" t="s">
        <v>46</v>
      </c>
      <c r="J1" s="93" t="s">
        <v>47</v>
      </c>
      <c r="K1" s="133" t="s">
        <v>48</v>
      </c>
      <c r="L1" s="133" t="s">
        <v>49</v>
      </c>
      <c r="M1" s="240" t="s">
        <v>861</v>
      </c>
      <c r="N1" s="247" t="s">
        <v>862</v>
      </c>
      <c r="O1" s="241" t="s">
        <v>863</v>
      </c>
      <c r="P1" s="92" t="s">
        <v>50</v>
      </c>
      <c r="Q1" s="94" t="s">
        <v>51</v>
      </c>
      <c r="R1" s="95" t="s">
        <v>52</v>
      </c>
      <c r="S1" s="147" t="s">
        <v>53</v>
      </c>
      <c r="T1" s="96" t="s">
        <v>864</v>
      </c>
      <c r="U1" s="96" t="s">
        <v>55</v>
      </c>
      <c r="V1" s="78" t="s">
        <v>56</v>
      </c>
      <c r="W1" s="78" t="s">
        <v>57</v>
      </c>
      <c r="X1" t="s">
        <v>58</v>
      </c>
      <c r="Y1" t="s">
        <v>59</v>
      </c>
      <c r="Z1" t="s">
        <v>60</v>
      </c>
    </row>
    <row r="2" spans="1:26">
      <c r="A2" s="79" t="s">
        <v>61</v>
      </c>
      <c r="B2" s="79" t="s">
        <v>98</v>
      </c>
      <c r="C2" s="79" t="s">
        <v>99</v>
      </c>
      <c r="D2" s="80" t="s">
        <v>100</v>
      </c>
      <c r="E2" s="83" t="s">
        <v>65</v>
      </c>
      <c r="F2" s="85" t="s">
        <v>66</v>
      </c>
      <c r="G2" s="79" t="s">
        <v>67</v>
      </c>
      <c r="H2" s="79" t="s">
        <v>364</v>
      </c>
      <c r="I2" s="81" t="s">
        <v>364</v>
      </c>
      <c r="J2" s="81"/>
      <c r="K2" s="131"/>
      <c r="L2" s="130"/>
      <c r="M2" s="131">
        <v>0.6</v>
      </c>
      <c r="N2" s="248">
        <v>1</v>
      </c>
      <c r="O2" s="248" t="s">
        <v>865</v>
      </c>
      <c r="P2" s="84" t="s">
        <v>66</v>
      </c>
      <c r="Q2" s="87"/>
      <c r="R2" s="86"/>
      <c r="S2" s="148"/>
      <c r="T2" s="82"/>
      <c r="U2" s="82"/>
      <c r="V2" s="82" t="s">
        <v>70</v>
      </c>
      <c r="W2" s="82" t="s">
        <v>79</v>
      </c>
      <c r="X2" s="82" t="s">
        <v>72</v>
      </c>
      <c r="Y2" s="82" t="s">
        <v>73</v>
      </c>
    </row>
    <row r="3" spans="1:26">
      <c r="A3" s="79" t="s">
        <v>61</v>
      </c>
      <c r="B3" s="113" t="s">
        <v>74</v>
      </c>
      <c r="C3" s="79" t="s">
        <v>75</v>
      </c>
      <c r="D3" s="114" t="s">
        <v>76</v>
      </c>
      <c r="E3" s="83" t="s">
        <v>65</v>
      </c>
      <c r="F3" s="85" t="s">
        <v>77</v>
      </c>
      <c r="G3" s="115" t="s">
        <v>67</v>
      </c>
      <c r="H3" s="115" t="s">
        <v>364</v>
      </c>
      <c r="I3" s="116" t="s">
        <v>78</v>
      </c>
      <c r="J3" s="81"/>
      <c r="K3" s="131"/>
      <c r="L3" s="131"/>
      <c r="M3" s="131">
        <v>0.6</v>
      </c>
      <c r="N3" s="131">
        <v>1</v>
      </c>
      <c r="O3" s="131" t="s">
        <v>865</v>
      </c>
      <c r="P3" s="84" t="s">
        <v>77</v>
      </c>
      <c r="Q3" s="87"/>
      <c r="R3" s="86"/>
      <c r="S3" s="148"/>
      <c r="T3" s="82"/>
      <c r="U3" s="82"/>
      <c r="V3" s="82" t="s">
        <v>70</v>
      </c>
      <c r="W3" s="82" t="s">
        <v>79</v>
      </c>
      <c r="X3" s="82" t="s">
        <v>72</v>
      </c>
      <c r="Y3" s="82" t="s">
        <v>80</v>
      </c>
    </row>
    <row r="4" spans="1:26">
      <c r="A4" s="79" t="s">
        <v>61</v>
      </c>
      <c r="B4" s="79" t="s">
        <v>62</v>
      </c>
      <c r="C4" s="79" t="s">
        <v>63</v>
      </c>
      <c r="D4" s="80" t="s">
        <v>64</v>
      </c>
      <c r="E4" s="83" t="s">
        <v>65</v>
      </c>
      <c r="F4" s="85" t="s">
        <v>77</v>
      </c>
      <c r="G4" s="79" t="s">
        <v>67</v>
      </c>
      <c r="H4" s="79" t="s">
        <v>68</v>
      </c>
      <c r="I4" s="81" t="s">
        <v>68</v>
      </c>
      <c r="J4" s="81"/>
      <c r="K4" s="131"/>
      <c r="L4" s="131"/>
      <c r="M4" s="131">
        <v>0.7</v>
      </c>
      <c r="N4" s="131">
        <v>0.7</v>
      </c>
      <c r="O4" s="131" t="s">
        <v>866</v>
      </c>
      <c r="P4" s="84" t="s">
        <v>77</v>
      </c>
      <c r="Q4" s="87"/>
      <c r="R4" s="86"/>
      <c r="S4" s="148"/>
      <c r="T4" s="82"/>
      <c r="U4" s="82"/>
      <c r="V4" s="82" t="s">
        <v>70</v>
      </c>
      <c r="W4" s="82" t="s">
        <v>71</v>
      </c>
      <c r="X4" s="82" t="s">
        <v>84</v>
      </c>
      <c r="Y4" s="82" t="s">
        <v>73</v>
      </c>
    </row>
    <row r="5" spans="1:26">
      <c r="A5" s="79" t="s">
        <v>61</v>
      </c>
      <c r="B5" s="79" t="s">
        <v>85</v>
      </c>
      <c r="C5" s="79" t="s">
        <v>86</v>
      </c>
      <c r="D5" s="80" t="s">
        <v>87</v>
      </c>
      <c r="E5" s="83" t="s">
        <v>65</v>
      </c>
      <c r="F5" s="85" t="s">
        <v>88</v>
      </c>
      <c r="G5" s="79" t="s">
        <v>67</v>
      </c>
      <c r="H5" s="79" t="s">
        <v>78</v>
      </c>
      <c r="I5" s="81" t="s">
        <v>78</v>
      </c>
      <c r="J5" s="81"/>
      <c r="K5" s="131"/>
      <c r="L5" s="131"/>
      <c r="M5" s="131">
        <v>1</v>
      </c>
      <c r="N5" s="131">
        <v>1.2</v>
      </c>
      <c r="O5" s="131" t="s">
        <v>865</v>
      </c>
      <c r="P5" s="84" t="s">
        <v>88</v>
      </c>
      <c r="Q5" s="87"/>
      <c r="R5" s="86"/>
      <c r="S5" s="148"/>
      <c r="T5" s="82"/>
      <c r="U5" s="82"/>
      <c r="V5" s="82" t="s">
        <v>70</v>
      </c>
      <c r="W5" s="82" t="s">
        <v>79</v>
      </c>
      <c r="X5" s="82" t="s">
        <v>72</v>
      </c>
      <c r="Y5" s="82" t="s">
        <v>80</v>
      </c>
    </row>
    <row r="6" spans="1:26">
      <c r="A6" s="79" t="s">
        <v>61</v>
      </c>
      <c r="B6" s="79" t="s">
        <v>108</v>
      </c>
      <c r="C6" s="79" t="s">
        <v>109</v>
      </c>
      <c r="D6" s="80" t="s">
        <v>110</v>
      </c>
      <c r="E6" s="83" t="s">
        <v>65</v>
      </c>
      <c r="F6" s="85" t="s">
        <v>77</v>
      </c>
      <c r="G6" s="79" t="s">
        <v>67</v>
      </c>
      <c r="H6" s="79" t="s">
        <v>78</v>
      </c>
      <c r="I6" s="81" t="s">
        <v>78</v>
      </c>
      <c r="J6" s="81"/>
      <c r="K6" s="131"/>
      <c r="L6" s="131"/>
      <c r="M6" s="131">
        <v>1</v>
      </c>
      <c r="N6" s="131">
        <v>1.2</v>
      </c>
      <c r="O6" s="131" t="s">
        <v>865</v>
      </c>
      <c r="P6" s="84" t="s">
        <v>77</v>
      </c>
      <c r="Q6" s="87"/>
      <c r="R6" s="86"/>
      <c r="S6" s="148"/>
      <c r="T6" s="82"/>
      <c r="U6" s="82"/>
      <c r="V6" s="82" t="s">
        <v>70</v>
      </c>
      <c r="W6" s="82" t="s">
        <v>79</v>
      </c>
      <c r="X6" s="82" t="s">
        <v>72</v>
      </c>
      <c r="Y6" s="82" t="s">
        <v>80</v>
      </c>
    </row>
    <row r="7" spans="1:26">
      <c r="A7" s="79" t="s">
        <v>61</v>
      </c>
      <c r="B7" s="79" t="s">
        <v>90</v>
      </c>
      <c r="C7" s="79" t="s">
        <v>91</v>
      </c>
      <c r="D7" s="80" t="s">
        <v>92</v>
      </c>
      <c r="E7" s="83" t="s">
        <v>65</v>
      </c>
      <c r="F7" s="85" t="s">
        <v>66</v>
      </c>
      <c r="G7" s="79" t="s">
        <v>67</v>
      </c>
      <c r="H7" s="79" t="s">
        <v>78</v>
      </c>
      <c r="I7" s="81" t="s">
        <v>78</v>
      </c>
      <c r="J7" s="81"/>
      <c r="K7" s="131"/>
      <c r="L7" s="131"/>
      <c r="M7" s="131">
        <v>1</v>
      </c>
      <c r="N7" s="131">
        <v>1</v>
      </c>
      <c r="O7" s="131" t="s">
        <v>381</v>
      </c>
      <c r="P7" s="84" t="s">
        <v>66</v>
      </c>
      <c r="Q7" s="87"/>
      <c r="R7" s="86"/>
      <c r="S7" s="148"/>
      <c r="T7" s="82"/>
      <c r="U7" s="82"/>
      <c r="V7" s="82" t="s">
        <v>70</v>
      </c>
      <c r="W7" s="82" t="s">
        <v>79</v>
      </c>
      <c r="X7" s="82" t="s">
        <v>84</v>
      </c>
      <c r="Y7" s="82" t="s">
        <v>73</v>
      </c>
    </row>
    <row r="8" spans="1:26">
      <c r="A8" s="79" t="s">
        <v>61</v>
      </c>
      <c r="B8" s="79" t="s">
        <v>101</v>
      </c>
      <c r="C8" s="79" t="s">
        <v>102</v>
      </c>
      <c r="D8" s="80" t="s">
        <v>103</v>
      </c>
      <c r="E8" s="83" t="s">
        <v>65</v>
      </c>
      <c r="F8" s="85" t="s">
        <v>66</v>
      </c>
      <c r="G8" s="79" t="s">
        <v>67</v>
      </c>
      <c r="H8" s="79" t="s">
        <v>93</v>
      </c>
      <c r="I8" s="81" t="s">
        <v>93</v>
      </c>
      <c r="J8" s="81"/>
      <c r="K8" s="131"/>
      <c r="L8" s="131"/>
      <c r="M8" s="131">
        <v>1</v>
      </c>
      <c r="N8" s="131">
        <v>1.2</v>
      </c>
      <c r="O8" s="131" t="s">
        <v>865</v>
      </c>
      <c r="P8" s="84" t="s">
        <v>66</v>
      </c>
      <c r="Q8" s="87"/>
      <c r="R8" s="86"/>
      <c r="S8" s="148"/>
      <c r="T8" s="82"/>
      <c r="U8" s="82"/>
      <c r="V8" s="82" t="s">
        <v>70</v>
      </c>
      <c r="W8" s="82" t="s">
        <v>104</v>
      </c>
      <c r="X8" s="82" t="s">
        <v>72</v>
      </c>
      <c r="Y8" s="82" t="s">
        <v>80</v>
      </c>
    </row>
    <row r="9" spans="1:26">
      <c r="A9" s="79" t="s">
        <v>61</v>
      </c>
      <c r="B9" s="79" t="s">
        <v>95</v>
      </c>
      <c r="C9" s="79" t="s">
        <v>96</v>
      </c>
      <c r="D9" s="80" t="s">
        <v>97</v>
      </c>
      <c r="E9" s="83" t="s">
        <v>65</v>
      </c>
      <c r="F9" s="85" t="s">
        <v>77</v>
      </c>
      <c r="G9" s="79" t="s">
        <v>67</v>
      </c>
      <c r="H9" s="79" t="s">
        <v>78</v>
      </c>
      <c r="I9" s="81" t="s">
        <v>78</v>
      </c>
      <c r="J9" s="81"/>
      <c r="K9" s="131"/>
      <c r="L9" s="131"/>
      <c r="M9" s="131">
        <v>1.4</v>
      </c>
      <c r="N9" s="131">
        <v>1.4</v>
      </c>
      <c r="O9" s="131" t="s">
        <v>867</v>
      </c>
      <c r="P9" s="84" t="s">
        <v>77</v>
      </c>
      <c r="Q9" s="87"/>
      <c r="R9" s="86"/>
      <c r="S9" s="148"/>
      <c r="T9" s="82"/>
      <c r="U9" s="82"/>
      <c r="V9" s="82" t="s">
        <v>70</v>
      </c>
      <c r="W9" s="82" t="s">
        <v>79</v>
      </c>
      <c r="X9" s="82" t="s">
        <v>72</v>
      </c>
      <c r="Y9" s="82" t="s">
        <v>80</v>
      </c>
    </row>
    <row r="10" spans="1:26">
      <c r="A10" s="79" t="s">
        <v>61</v>
      </c>
      <c r="B10" s="79" t="s">
        <v>81</v>
      </c>
      <c r="C10" s="79" t="s">
        <v>82</v>
      </c>
      <c r="D10" s="80" t="s">
        <v>83</v>
      </c>
      <c r="E10" s="83" t="s">
        <v>65</v>
      </c>
      <c r="F10" s="85" t="s">
        <v>77</v>
      </c>
      <c r="G10" s="79" t="s">
        <v>67</v>
      </c>
      <c r="H10" s="79" t="s">
        <v>364</v>
      </c>
      <c r="I10" s="81" t="s">
        <v>364</v>
      </c>
      <c r="J10" s="81"/>
      <c r="K10" s="131"/>
      <c r="L10" s="131"/>
      <c r="M10" s="131">
        <v>1.4</v>
      </c>
      <c r="N10" s="131">
        <v>1.4</v>
      </c>
      <c r="O10" s="131" t="s">
        <v>867</v>
      </c>
      <c r="P10" s="84" t="s">
        <v>77</v>
      </c>
      <c r="Q10" s="87"/>
      <c r="R10" s="86"/>
      <c r="S10" s="148"/>
      <c r="T10" s="82"/>
      <c r="U10" s="82"/>
      <c r="V10" s="82" t="s">
        <v>70</v>
      </c>
      <c r="W10" s="82" t="s">
        <v>79</v>
      </c>
      <c r="X10" s="82" t="s">
        <v>72</v>
      </c>
      <c r="Y10" s="82" t="s">
        <v>80</v>
      </c>
    </row>
    <row r="11" spans="1:26">
      <c r="A11" s="79" t="s">
        <v>61</v>
      </c>
      <c r="B11" s="79" t="s">
        <v>733</v>
      </c>
      <c r="C11" s="79" t="s">
        <v>734</v>
      </c>
      <c r="D11" s="80" t="s">
        <v>735</v>
      </c>
      <c r="E11" s="83" t="s">
        <v>65</v>
      </c>
      <c r="F11" s="85" t="s">
        <v>88</v>
      </c>
      <c r="G11" s="79" t="s">
        <v>67</v>
      </c>
      <c r="H11" s="79" t="s">
        <v>78</v>
      </c>
      <c r="I11" s="81" t="s">
        <v>78</v>
      </c>
      <c r="J11" s="81"/>
      <c r="K11" s="131"/>
      <c r="L11" s="131"/>
      <c r="M11" s="131">
        <v>1.4</v>
      </c>
      <c r="N11" s="131">
        <v>1.4</v>
      </c>
      <c r="O11" s="131" t="s">
        <v>867</v>
      </c>
      <c r="P11" s="84" t="s">
        <v>88</v>
      </c>
      <c r="Q11" s="87"/>
      <c r="R11" s="86"/>
      <c r="S11" s="148"/>
      <c r="T11" s="82"/>
      <c r="U11" s="82"/>
      <c r="V11" s="82" t="s">
        <v>70</v>
      </c>
      <c r="W11" s="82" t="s">
        <v>79</v>
      </c>
      <c r="X11" s="82" t="s">
        <v>84</v>
      </c>
      <c r="Y11" s="82" t="s">
        <v>73</v>
      </c>
    </row>
    <row r="12" spans="1:26">
      <c r="A12" s="79" t="s">
        <v>61</v>
      </c>
      <c r="B12" s="79" t="s">
        <v>105</v>
      </c>
      <c r="C12" s="79" t="s">
        <v>106</v>
      </c>
      <c r="D12" s="80" t="s">
        <v>107</v>
      </c>
      <c r="E12" s="83" t="s">
        <v>65</v>
      </c>
      <c r="F12" s="85" t="s">
        <v>77</v>
      </c>
      <c r="G12" s="79" t="s">
        <v>67</v>
      </c>
      <c r="H12" s="79" t="s">
        <v>93</v>
      </c>
      <c r="I12" s="81" t="s">
        <v>93</v>
      </c>
      <c r="J12" s="81"/>
      <c r="K12" s="131"/>
      <c r="L12" s="131"/>
      <c r="M12" s="131">
        <v>1.4</v>
      </c>
      <c r="N12" s="131">
        <v>1.4</v>
      </c>
      <c r="O12" s="131" t="s">
        <v>867</v>
      </c>
      <c r="P12" s="84" t="s">
        <v>77</v>
      </c>
      <c r="Q12" s="87"/>
      <c r="R12" s="86"/>
      <c r="S12" s="148"/>
      <c r="T12" s="82"/>
      <c r="U12" s="82"/>
      <c r="V12" s="82" t="s">
        <v>70</v>
      </c>
      <c r="W12" s="82" t="s">
        <v>104</v>
      </c>
      <c r="X12" s="82" t="s">
        <v>72</v>
      </c>
      <c r="Y12" s="82" t="s">
        <v>80</v>
      </c>
    </row>
    <row r="13" spans="1:26">
      <c r="A13" s="79" t="s">
        <v>61</v>
      </c>
      <c r="B13" s="79" t="s">
        <v>111</v>
      </c>
      <c r="C13" s="79" t="s">
        <v>112</v>
      </c>
      <c r="D13" s="80" t="s">
        <v>113</v>
      </c>
      <c r="E13" s="83" t="s">
        <v>65</v>
      </c>
      <c r="F13" s="85" t="s">
        <v>77</v>
      </c>
      <c r="G13" s="79" t="s">
        <v>67</v>
      </c>
      <c r="H13" s="79" t="s">
        <v>93</v>
      </c>
      <c r="I13" s="81" t="s">
        <v>93</v>
      </c>
      <c r="J13" s="81"/>
      <c r="K13" s="131"/>
      <c r="L13" s="131"/>
      <c r="M13" s="131">
        <v>1.4</v>
      </c>
      <c r="N13" s="131">
        <v>1.4</v>
      </c>
      <c r="O13" s="131" t="s">
        <v>867</v>
      </c>
      <c r="P13" s="84" t="s">
        <v>77</v>
      </c>
      <c r="Q13" s="87"/>
      <c r="R13" s="86"/>
      <c r="S13" s="148"/>
      <c r="T13" s="82"/>
      <c r="U13" s="82"/>
      <c r="V13" s="82" t="s">
        <v>70</v>
      </c>
      <c r="W13" s="82" t="s">
        <v>104</v>
      </c>
      <c r="X13" s="82" t="s">
        <v>84</v>
      </c>
      <c r="Y13" s="82" t="s">
        <v>73</v>
      </c>
    </row>
    <row r="14" spans="1:26" hidden="1">
      <c r="A14" s="79" t="s">
        <v>61</v>
      </c>
      <c r="B14" s="113" t="s">
        <v>157</v>
      </c>
      <c r="C14" s="79" t="s">
        <v>157</v>
      </c>
      <c r="D14" s="146" t="s">
        <v>158</v>
      </c>
      <c r="E14" s="83" t="s">
        <v>65</v>
      </c>
      <c r="F14" s="85" t="s">
        <v>77</v>
      </c>
      <c r="G14" s="79" t="s">
        <v>117</v>
      </c>
      <c r="H14" s="115" t="s">
        <v>137</v>
      </c>
      <c r="I14" s="116" t="s">
        <v>118</v>
      </c>
      <c r="J14" s="102" t="s">
        <v>16</v>
      </c>
      <c r="K14" s="132" t="s">
        <v>16</v>
      </c>
      <c r="L14" s="132"/>
      <c r="M14" s="131">
        <v>0.6</v>
      </c>
      <c r="N14" s="132"/>
      <c r="O14" s="132"/>
      <c r="P14" s="84" t="s">
        <v>77</v>
      </c>
      <c r="Q14" s="87"/>
      <c r="R14" s="86"/>
      <c r="S14" s="148" t="s">
        <v>159</v>
      </c>
      <c r="T14" s="82"/>
      <c r="U14" s="82"/>
      <c r="V14" s="82" t="s">
        <v>119</v>
      </c>
      <c r="W14" s="82" t="s">
        <v>133</v>
      </c>
      <c r="X14" s="82" t="s">
        <v>72</v>
      </c>
      <c r="Y14" s="82" t="s">
        <v>80</v>
      </c>
    </row>
    <row r="15" spans="1:26" hidden="1">
      <c r="A15" s="79" t="s">
        <v>61</v>
      </c>
      <c r="B15" s="113" t="s">
        <v>134</v>
      </c>
      <c r="C15" s="156" t="s">
        <v>135</v>
      </c>
      <c r="D15" s="114" t="s">
        <v>136</v>
      </c>
      <c r="E15" s="83" t="s">
        <v>65</v>
      </c>
      <c r="F15" s="85" t="s">
        <v>77</v>
      </c>
      <c r="G15" s="115" t="s">
        <v>117</v>
      </c>
      <c r="H15" s="203" t="s">
        <v>137</v>
      </c>
      <c r="I15" s="205" t="s">
        <v>137</v>
      </c>
      <c r="J15" s="81"/>
      <c r="K15" s="131"/>
      <c r="L15" s="131"/>
      <c r="M15" s="131">
        <v>0.6</v>
      </c>
      <c r="N15" s="131"/>
      <c r="O15" s="131"/>
      <c r="P15" s="84" t="s">
        <v>77</v>
      </c>
      <c r="Q15" s="87"/>
      <c r="R15" s="86"/>
      <c r="S15" s="148"/>
      <c r="T15" s="82"/>
      <c r="U15" s="82"/>
      <c r="V15" s="82" t="s">
        <v>119</v>
      </c>
      <c r="W15" s="82" t="s">
        <v>133</v>
      </c>
      <c r="X15" s="82" t="s">
        <v>84</v>
      </c>
      <c r="Y15" s="82" t="s">
        <v>73</v>
      </c>
    </row>
    <row r="16" spans="1:26" hidden="1">
      <c r="A16" s="79" t="s">
        <v>61</v>
      </c>
      <c r="B16" s="79" t="s">
        <v>121</v>
      </c>
      <c r="C16" s="79" t="s">
        <v>122</v>
      </c>
      <c r="D16" s="80" t="s">
        <v>123</v>
      </c>
      <c r="E16" s="83" t="s">
        <v>65</v>
      </c>
      <c r="F16" s="85" t="s">
        <v>88</v>
      </c>
      <c r="G16" s="79" t="s">
        <v>117</v>
      </c>
      <c r="H16" s="79" t="s">
        <v>118</v>
      </c>
      <c r="I16" s="81" t="s">
        <v>118</v>
      </c>
      <c r="J16" s="81"/>
      <c r="K16" s="131"/>
      <c r="L16" s="131"/>
      <c r="M16" s="131">
        <v>1</v>
      </c>
      <c r="N16" s="131"/>
      <c r="O16" s="131"/>
      <c r="P16" s="84" t="s">
        <v>88</v>
      </c>
      <c r="Q16" s="87">
        <v>46056</v>
      </c>
      <c r="R16" s="86">
        <v>46057</v>
      </c>
      <c r="S16" s="148"/>
      <c r="T16" s="82"/>
      <c r="U16" s="82"/>
      <c r="V16" s="82" t="s">
        <v>119</v>
      </c>
      <c r="W16" s="82" t="s">
        <v>124</v>
      </c>
      <c r="X16" s="82" t="s">
        <v>84</v>
      </c>
      <c r="Y16" s="82" t="s">
        <v>73</v>
      </c>
    </row>
    <row r="17" spans="1:25" hidden="1">
      <c r="A17" s="79" t="s">
        <v>61</v>
      </c>
      <c r="B17" s="79" t="s">
        <v>114</v>
      </c>
      <c r="C17" s="79" t="s">
        <v>115</v>
      </c>
      <c r="D17" s="80" t="s">
        <v>116</v>
      </c>
      <c r="E17" s="83" t="s">
        <v>65</v>
      </c>
      <c r="F17" s="85" t="s">
        <v>66</v>
      </c>
      <c r="G17" s="79" t="s">
        <v>117</v>
      </c>
      <c r="H17" s="79" t="s">
        <v>118</v>
      </c>
      <c r="I17" s="81" t="s">
        <v>118</v>
      </c>
      <c r="J17" s="81"/>
      <c r="K17" s="131"/>
      <c r="L17" s="131"/>
      <c r="M17" s="131">
        <v>1</v>
      </c>
      <c r="N17" s="131"/>
      <c r="O17" s="131"/>
      <c r="P17" s="84" t="s">
        <v>66</v>
      </c>
      <c r="Q17" s="87"/>
      <c r="R17" s="86"/>
      <c r="S17" s="148"/>
      <c r="T17" s="82"/>
      <c r="U17" s="82"/>
      <c r="V17" s="82" t="s">
        <v>119</v>
      </c>
      <c r="W17" s="82" t="s">
        <v>120</v>
      </c>
      <c r="X17" s="82" t="s">
        <v>84</v>
      </c>
      <c r="Y17" s="82" t="s">
        <v>73</v>
      </c>
    </row>
    <row r="18" spans="1:25" hidden="1">
      <c r="A18" s="79" t="s">
        <v>61</v>
      </c>
      <c r="B18" s="79" t="s">
        <v>130</v>
      </c>
      <c r="C18" s="79" t="s">
        <v>131</v>
      </c>
      <c r="D18" s="80" t="s">
        <v>132</v>
      </c>
      <c r="E18" s="83" t="s">
        <v>65</v>
      </c>
      <c r="F18" s="85" t="s">
        <v>77</v>
      </c>
      <c r="G18" s="79" t="s">
        <v>117</v>
      </c>
      <c r="H18" s="79" t="s">
        <v>118</v>
      </c>
      <c r="I18" s="81" t="s">
        <v>118</v>
      </c>
      <c r="J18" s="81"/>
      <c r="K18" s="131"/>
      <c r="L18" s="131"/>
      <c r="M18" s="131">
        <v>1</v>
      </c>
      <c r="N18" s="131"/>
      <c r="O18" s="131"/>
      <c r="P18" s="84" t="s">
        <v>77</v>
      </c>
      <c r="Q18" s="87"/>
      <c r="R18" s="86"/>
      <c r="S18" s="148"/>
      <c r="T18" s="82"/>
      <c r="U18" s="82"/>
      <c r="V18" s="82" t="s">
        <v>119</v>
      </c>
      <c r="W18" s="82" t="s">
        <v>133</v>
      </c>
      <c r="X18" s="82" t="s">
        <v>72</v>
      </c>
      <c r="Y18" s="82" t="s">
        <v>80</v>
      </c>
    </row>
    <row r="19" spans="1:25" hidden="1">
      <c r="A19" s="79" t="s">
        <v>61</v>
      </c>
      <c r="B19" s="79" t="s">
        <v>197</v>
      </c>
      <c r="C19" s="79" t="s">
        <v>198</v>
      </c>
      <c r="D19" s="80" t="s">
        <v>199</v>
      </c>
      <c r="E19" s="83" t="s">
        <v>65</v>
      </c>
      <c r="F19" s="85" t="s">
        <v>66</v>
      </c>
      <c r="G19" s="79" t="s">
        <v>117</v>
      </c>
      <c r="H19" s="79" t="s">
        <v>137</v>
      </c>
      <c r="I19" s="81" t="s">
        <v>118</v>
      </c>
      <c r="J19" s="81"/>
      <c r="K19" s="131"/>
      <c r="L19" s="131"/>
      <c r="M19" s="131">
        <v>1</v>
      </c>
      <c r="N19" s="131"/>
      <c r="O19" s="131"/>
      <c r="P19" s="84" t="s">
        <v>66</v>
      </c>
      <c r="Q19" s="87">
        <v>46069</v>
      </c>
      <c r="R19" s="86">
        <v>46070</v>
      </c>
      <c r="S19" s="148"/>
      <c r="T19" s="82"/>
      <c r="U19" s="82"/>
      <c r="V19" s="82" t="s">
        <v>119</v>
      </c>
      <c r="W19" s="82" t="s">
        <v>124</v>
      </c>
      <c r="X19" s="82" t="s">
        <v>84</v>
      </c>
      <c r="Y19" s="82" t="s">
        <v>73</v>
      </c>
    </row>
    <row r="20" spans="1:25" hidden="1">
      <c r="A20" s="79" t="s">
        <v>61</v>
      </c>
      <c r="B20" s="79" t="s">
        <v>868</v>
      </c>
      <c r="C20" s="79" t="s">
        <v>869</v>
      </c>
      <c r="D20" s="80" t="s">
        <v>142</v>
      </c>
      <c r="E20" s="83" t="s">
        <v>65</v>
      </c>
      <c r="F20" s="85" t="s">
        <v>66</v>
      </c>
      <c r="G20" s="79" t="s">
        <v>117</v>
      </c>
      <c r="H20" s="79" t="s">
        <v>137</v>
      </c>
      <c r="I20" s="81" t="s">
        <v>118</v>
      </c>
      <c r="J20" s="81"/>
      <c r="K20" s="131"/>
      <c r="L20" s="131"/>
      <c r="M20" s="131">
        <v>1</v>
      </c>
      <c r="N20" s="131"/>
      <c r="O20" s="131"/>
      <c r="P20" s="84" t="s">
        <v>66</v>
      </c>
      <c r="Q20" s="87"/>
      <c r="R20" s="86"/>
      <c r="S20" s="148"/>
      <c r="T20" s="82"/>
      <c r="U20" s="82"/>
      <c r="V20" s="82" t="s">
        <v>119</v>
      </c>
      <c r="W20" s="82" t="s">
        <v>133</v>
      </c>
      <c r="X20" s="82" t="s">
        <v>84</v>
      </c>
      <c r="Y20" s="82" t="s">
        <v>73</v>
      </c>
    </row>
    <row r="21" spans="1:25" hidden="1">
      <c r="A21" s="79" t="s">
        <v>61</v>
      </c>
      <c r="B21" s="79" t="s">
        <v>144</v>
      </c>
      <c r="C21" s="79" t="s">
        <v>145</v>
      </c>
      <c r="D21" s="80" t="s">
        <v>146</v>
      </c>
      <c r="E21" s="83" t="s">
        <v>65</v>
      </c>
      <c r="F21" s="85" t="s">
        <v>66</v>
      </c>
      <c r="G21" s="79" t="s">
        <v>117</v>
      </c>
      <c r="H21" s="79" t="s">
        <v>137</v>
      </c>
      <c r="I21" s="81" t="s">
        <v>137</v>
      </c>
      <c r="J21" s="81"/>
      <c r="K21" s="131"/>
      <c r="L21" s="131"/>
      <c r="M21" s="131">
        <v>1</v>
      </c>
      <c r="N21" s="131"/>
      <c r="O21" s="131"/>
      <c r="P21" s="84" t="s">
        <v>66</v>
      </c>
      <c r="Q21" s="87"/>
      <c r="R21" s="86"/>
      <c r="S21" s="148"/>
      <c r="T21" s="82"/>
      <c r="U21" s="82"/>
      <c r="V21" s="82" t="s">
        <v>119</v>
      </c>
      <c r="W21" s="82" t="s">
        <v>133</v>
      </c>
      <c r="X21" s="82" t="s">
        <v>72</v>
      </c>
      <c r="Y21" s="82" t="s">
        <v>80</v>
      </c>
    </row>
    <row r="22" spans="1:25" hidden="1">
      <c r="A22" s="79" t="s">
        <v>61</v>
      </c>
      <c r="B22" s="79" t="s">
        <v>160</v>
      </c>
      <c r="C22" s="79" t="s">
        <v>161</v>
      </c>
      <c r="D22" s="80" t="s">
        <v>162</v>
      </c>
      <c r="E22" s="83" t="s">
        <v>65</v>
      </c>
      <c r="F22" s="85" t="s">
        <v>66</v>
      </c>
      <c r="G22" s="79" t="s">
        <v>117</v>
      </c>
      <c r="H22" s="79" t="s">
        <v>163</v>
      </c>
      <c r="I22" s="81" t="s">
        <v>188</v>
      </c>
      <c r="J22" s="81"/>
      <c r="K22" s="131"/>
      <c r="L22" s="131"/>
      <c r="M22" s="131">
        <v>1</v>
      </c>
      <c r="N22" s="131"/>
      <c r="O22" s="131"/>
      <c r="P22" s="84" t="s">
        <v>66</v>
      </c>
      <c r="Q22" s="87"/>
      <c r="R22" s="86"/>
      <c r="S22" s="148"/>
      <c r="T22" s="82"/>
      <c r="U22" s="82"/>
      <c r="V22" s="82" t="s">
        <v>119</v>
      </c>
      <c r="W22" s="82" t="s">
        <v>164</v>
      </c>
      <c r="X22" s="82" t="s">
        <v>84</v>
      </c>
      <c r="Y22" s="82" t="s">
        <v>73</v>
      </c>
    </row>
    <row r="23" spans="1:25" hidden="1">
      <c r="A23" s="79" t="s">
        <v>61</v>
      </c>
      <c r="B23" s="79" t="s">
        <v>165</v>
      </c>
      <c r="C23" s="156" t="s">
        <v>166</v>
      </c>
      <c r="D23" s="80" t="s">
        <v>167</v>
      </c>
      <c r="E23" s="83" t="s">
        <v>65</v>
      </c>
      <c r="F23" s="85" t="s">
        <v>77</v>
      </c>
      <c r="G23" s="79" t="s">
        <v>117</v>
      </c>
      <c r="H23" s="79" t="s">
        <v>163</v>
      </c>
      <c r="I23" s="81" t="s">
        <v>163</v>
      </c>
      <c r="J23" s="81"/>
      <c r="K23" s="131"/>
      <c r="L23" s="131"/>
      <c r="M23" s="131">
        <v>1</v>
      </c>
      <c r="N23" s="131"/>
      <c r="O23" s="131"/>
      <c r="P23" s="84" t="s">
        <v>77</v>
      </c>
      <c r="Q23" s="87"/>
      <c r="R23" s="86"/>
      <c r="S23" s="148"/>
      <c r="T23" s="82"/>
      <c r="U23" s="82"/>
      <c r="V23" s="82" t="s">
        <v>119</v>
      </c>
      <c r="W23" s="82" t="s">
        <v>164</v>
      </c>
      <c r="X23" s="82" t="s">
        <v>72</v>
      </c>
      <c r="Y23" s="82" t="s">
        <v>80</v>
      </c>
    </row>
    <row r="24" spans="1:25" hidden="1">
      <c r="A24" s="79" t="s">
        <v>61</v>
      </c>
      <c r="B24" s="79" t="s">
        <v>169</v>
      </c>
      <c r="C24" s="156" t="s">
        <v>776</v>
      </c>
      <c r="D24" s="80" t="s">
        <v>171</v>
      </c>
      <c r="E24" s="83" t="s">
        <v>65</v>
      </c>
      <c r="F24" s="85" t="s">
        <v>66</v>
      </c>
      <c r="G24" s="79" t="s">
        <v>117</v>
      </c>
      <c r="H24" s="79" t="s">
        <v>163</v>
      </c>
      <c r="I24" s="81" t="s">
        <v>163</v>
      </c>
      <c r="J24" s="81"/>
      <c r="K24" s="131"/>
      <c r="L24" s="131"/>
      <c r="M24" s="131">
        <v>1</v>
      </c>
      <c r="N24" s="131"/>
      <c r="O24" s="131"/>
      <c r="P24" s="84" t="s">
        <v>66</v>
      </c>
      <c r="Q24" s="87"/>
      <c r="R24" s="86"/>
      <c r="S24" s="148"/>
      <c r="T24" s="82"/>
      <c r="U24" s="82"/>
      <c r="V24" s="82" t="s">
        <v>119</v>
      </c>
      <c r="W24" s="82" t="s">
        <v>164</v>
      </c>
      <c r="X24" s="82" t="s">
        <v>72</v>
      </c>
      <c r="Y24" s="82" t="s">
        <v>80</v>
      </c>
    </row>
    <row r="25" spans="1:25" hidden="1">
      <c r="A25" s="79" t="s">
        <v>61</v>
      </c>
      <c r="B25" s="79" t="s">
        <v>148</v>
      </c>
      <c r="C25" s="79" t="s">
        <v>149</v>
      </c>
      <c r="D25" s="80" t="s">
        <v>150</v>
      </c>
      <c r="E25" s="83" t="s">
        <v>65</v>
      </c>
      <c r="F25" s="85" t="s">
        <v>66</v>
      </c>
      <c r="G25" s="79" t="s">
        <v>117</v>
      </c>
      <c r="H25" s="79" t="s">
        <v>137</v>
      </c>
      <c r="I25" s="81" t="s">
        <v>137</v>
      </c>
      <c r="J25" s="81"/>
      <c r="K25" s="131"/>
      <c r="L25" s="131"/>
      <c r="M25" s="131">
        <v>1.2</v>
      </c>
      <c r="N25" s="131"/>
      <c r="O25" s="131"/>
      <c r="P25" s="84" t="s">
        <v>66</v>
      </c>
      <c r="Q25" s="87"/>
      <c r="R25" s="86"/>
      <c r="S25" s="148"/>
      <c r="T25" s="82"/>
      <c r="U25" s="82"/>
      <c r="V25" s="82" t="s">
        <v>119</v>
      </c>
      <c r="W25" s="82" t="s">
        <v>133</v>
      </c>
      <c r="X25" s="82" t="s">
        <v>72</v>
      </c>
      <c r="Y25" s="82" t="s">
        <v>80</v>
      </c>
    </row>
    <row r="26" spans="1:25" hidden="1">
      <c r="A26" s="79" t="s">
        <v>61</v>
      </c>
      <c r="B26" s="79" t="s">
        <v>176</v>
      </c>
      <c r="C26" s="79" t="s">
        <v>177</v>
      </c>
      <c r="D26" s="80" t="s">
        <v>178</v>
      </c>
      <c r="E26" s="83" t="s">
        <v>65</v>
      </c>
      <c r="F26" s="85" t="s">
        <v>66</v>
      </c>
      <c r="G26" s="79" t="s">
        <v>117</v>
      </c>
      <c r="H26" s="79" t="s">
        <v>179</v>
      </c>
      <c r="I26" s="81" t="s">
        <v>179</v>
      </c>
      <c r="J26" s="81"/>
      <c r="K26" s="131"/>
      <c r="L26" s="131"/>
      <c r="M26" s="131">
        <v>1.4</v>
      </c>
      <c r="N26" s="131"/>
      <c r="O26" s="131"/>
      <c r="P26" s="84" t="s">
        <v>66</v>
      </c>
      <c r="Q26" s="87"/>
      <c r="R26" s="86"/>
      <c r="S26" s="148"/>
      <c r="T26" s="82"/>
      <c r="U26" s="82"/>
      <c r="V26" s="82" t="s">
        <v>119</v>
      </c>
      <c r="W26" s="82" t="s">
        <v>180</v>
      </c>
      <c r="X26" s="82" t="s">
        <v>84</v>
      </c>
      <c r="Y26" s="82" t="s">
        <v>73</v>
      </c>
    </row>
    <row r="27" spans="1:25" hidden="1">
      <c r="A27" s="79" t="s">
        <v>61</v>
      </c>
      <c r="B27" s="79" t="s">
        <v>194</v>
      </c>
      <c r="C27" s="79" t="s">
        <v>195</v>
      </c>
      <c r="D27" s="80" t="s">
        <v>196</v>
      </c>
      <c r="E27" s="83" t="s">
        <v>65</v>
      </c>
      <c r="F27" s="85" t="s">
        <v>66</v>
      </c>
      <c r="G27" s="79" t="s">
        <v>117</v>
      </c>
      <c r="H27" s="79" t="s">
        <v>163</v>
      </c>
      <c r="I27" s="81" t="s">
        <v>163</v>
      </c>
      <c r="J27" s="81"/>
      <c r="K27" s="131"/>
      <c r="L27" s="131"/>
      <c r="M27" s="131">
        <v>1.4</v>
      </c>
      <c r="N27" s="131"/>
      <c r="O27" s="131"/>
      <c r="P27" s="84" t="s">
        <v>66</v>
      </c>
      <c r="Q27" s="87"/>
      <c r="R27" s="86"/>
      <c r="S27" s="148"/>
      <c r="T27" s="82"/>
      <c r="U27" s="82"/>
      <c r="V27" s="82" t="s">
        <v>119</v>
      </c>
      <c r="W27" s="82" t="s">
        <v>164</v>
      </c>
      <c r="X27" s="82" t="s">
        <v>72</v>
      </c>
      <c r="Y27" s="82" t="s">
        <v>73</v>
      </c>
    </row>
    <row r="28" spans="1:25" hidden="1">
      <c r="A28" s="79" t="s">
        <v>61</v>
      </c>
      <c r="B28" s="79" t="s">
        <v>172</v>
      </c>
      <c r="C28" s="79" t="s">
        <v>173</v>
      </c>
      <c r="D28" s="80" t="s">
        <v>174</v>
      </c>
      <c r="E28" s="83" t="s">
        <v>65</v>
      </c>
      <c r="F28" s="85" t="s">
        <v>66</v>
      </c>
      <c r="G28" s="79" t="s">
        <v>117</v>
      </c>
      <c r="H28" s="79" t="s">
        <v>163</v>
      </c>
      <c r="I28" s="81" t="s">
        <v>163</v>
      </c>
      <c r="J28" s="81"/>
      <c r="K28" s="131"/>
      <c r="L28" s="131"/>
      <c r="M28" s="131">
        <v>1.4</v>
      </c>
      <c r="N28" s="131"/>
      <c r="O28" s="131"/>
      <c r="P28" s="84" t="s">
        <v>66</v>
      </c>
      <c r="Q28" s="87"/>
      <c r="R28" s="86"/>
      <c r="S28" s="148" t="s">
        <v>175</v>
      </c>
      <c r="T28" s="82"/>
      <c r="U28" s="82"/>
      <c r="V28" s="82" t="s">
        <v>119</v>
      </c>
      <c r="W28" s="82" t="s">
        <v>164</v>
      </c>
      <c r="X28" s="82" t="s">
        <v>84</v>
      </c>
      <c r="Y28" s="82" t="s">
        <v>73</v>
      </c>
    </row>
    <row r="29" spans="1:25" hidden="1">
      <c r="A29" s="79" t="s">
        <v>61</v>
      </c>
      <c r="B29" s="79">
        <v>5</v>
      </c>
      <c r="C29" s="113" t="s">
        <v>155</v>
      </c>
      <c r="D29" s="114" t="s">
        <v>156</v>
      </c>
      <c r="E29" s="83" t="s">
        <v>65</v>
      </c>
      <c r="F29" s="179" t="s">
        <v>77</v>
      </c>
      <c r="G29" s="200" t="s">
        <v>117</v>
      </c>
      <c r="H29" s="200" t="s">
        <v>118</v>
      </c>
      <c r="I29" s="116" t="s">
        <v>118</v>
      </c>
      <c r="J29" s="102" t="s">
        <v>12</v>
      </c>
      <c r="K29" s="131"/>
      <c r="L29" s="131"/>
      <c r="M29" s="131" t="e">
        <v>#N/A</v>
      </c>
      <c r="N29" s="131"/>
      <c r="O29" s="131"/>
      <c r="P29" s="84" t="s">
        <v>77</v>
      </c>
      <c r="Q29" s="87"/>
      <c r="R29" s="86"/>
      <c r="S29" s="148"/>
      <c r="T29" s="82"/>
      <c r="U29" s="82"/>
      <c r="V29" s="82" t="s">
        <v>119</v>
      </c>
      <c r="W29" s="82" t="s">
        <v>120</v>
      </c>
      <c r="X29" s="82" t="s">
        <v>72</v>
      </c>
      <c r="Y29" s="82" t="s">
        <v>80</v>
      </c>
    </row>
    <row r="30" spans="1:25" hidden="1">
      <c r="A30" s="79" t="s">
        <v>61</v>
      </c>
      <c r="B30" s="113" t="s">
        <v>736</v>
      </c>
      <c r="C30" s="79" t="s">
        <v>737</v>
      </c>
      <c r="D30" s="114" t="s">
        <v>738</v>
      </c>
      <c r="E30" s="83" t="s">
        <v>65</v>
      </c>
      <c r="F30" s="85" t="s">
        <v>77</v>
      </c>
      <c r="G30" s="115" t="s">
        <v>117</v>
      </c>
      <c r="H30" s="203" t="s">
        <v>137</v>
      </c>
      <c r="I30" s="205" t="s">
        <v>137</v>
      </c>
      <c r="J30" s="139"/>
      <c r="K30" s="131"/>
      <c r="L30" s="131"/>
      <c r="M30" s="131" t="e">
        <v>#N/A</v>
      </c>
      <c r="N30" s="131"/>
      <c r="O30" s="131"/>
      <c r="P30" s="84" t="s">
        <v>77</v>
      </c>
      <c r="Q30" s="87"/>
      <c r="R30" s="86"/>
      <c r="S30" s="148"/>
      <c r="T30" s="82"/>
      <c r="U30" s="82"/>
      <c r="V30" s="82" t="s">
        <v>119</v>
      </c>
      <c r="W30" s="82" t="s">
        <v>133</v>
      </c>
      <c r="X30" s="82" t="s">
        <v>72</v>
      </c>
      <c r="Y30" s="82" t="s">
        <v>80</v>
      </c>
    </row>
    <row r="31" spans="1:25" hidden="1">
      <c r="A31" s="79" t="s">
        <v>61</v>
      </c>
      <c r="B31" s="79">
        <v>2</v>
      </c>
      <c r="C31" s="113" t="s">
        <v>138</v>
      </c>
      <c r="D31" s="114" t="s">
        <v>139</v>
      </c>
      <c r="E31" s="83" t="s">
        <v>65</v>
      </c>
      <c r="F31" s="179" t="s">
        <v>77</v>
      </c>
      <c r="G31" s="200" t="s">
        <v>117</v>
      </c>
      <c r="H31" s="202" t="s">
        <v>137</v>
      </c>
      <c r="I31" s="205" t="s">
        <v>137</v>
      </c>
      <c r="J31" s="102" t="s">
        <v>12</v>
      </c>
      <c r="K31" s="131"/>
      <c r="L31" s="131"/>
      <c r="M31" s="131" t="e">
        <v>#N/A</v>
      </c>
      <c r="N31" s="131"/>
      <c r="O31" s="131"/>
      <c r="P31" s="84" t="s">
        <v>77</v>
      </c>
      <c r="Q31" s="87"/>
      <c r="R31" s="86"/>
      <c r="S31" s="148"/>
      <c r="T31" s="82"/>
      <c r="U31" s="82"/>
      <c r="V31" s="82" t="s">
        <v>119</v>
      </c>
      <c r="W31" s="82" t="s">
        <v>133</v>
      </c>
      <c r="X31" s="82" t="s">
        <v>84</v>
      </c>
      <c r="Y31" s="82" t="s">
        <v>73</v>
      </c>
    </row>
    <row r="32" spans="1:25" hidden="1">
      <c r="A32" s="79" t="s">
        <v>61</v>
      </c>
      <c r="B32" s="79">
        <v>1</v>
      </c>
      <c r="C32" s="113" t="s">
        <v>152</v>
      </c>
      <c r="D32" s="114" t="s">
        <v>153</v>
      </c>
      <c r="E32" s="83" t="s">
        <v>65</v>
      </c>
      <c r="F32" s="179" t="s">
        <v>77</v>
      </c>
      <c r="G32" s="200" t="s">
        <v>117</v>
      </c>
      <c r="H32" s="202" t="s">
        <v>137</v>
      </c>
      <c r="I32" s="205" t="s">
        <v>137</v>
      </c>
      <c r="J32" s="102" t="s">
        <v>12</v>
      </c>
      <c r="K32" s="131"/>
      <c r="L32" s="131"/>
      <c r="M32" s="131" t="e">
        <v>#N/A</v>
      </c>
      <c r="N32" s="131"/>
      <c r="O32" s="131"/>
      <c r="P32" s="84"/>
      <c r="Q32" s="87"/>
      <c r="R32" s="86"/>
      <c r="S32" s="148"/>
      <c r="T32" s="82"/>
      <c r="U32" s="82"/>
      <c r="V32" s="82" t="s">
        <v>119</v>
      </c>
      <c r="W32" s="82" t="s">
        <v>133</v>
      </c>
      <c r="X32" s="82" t="s">
        <v>72</v>
      </c>
      <c r="Y32" s="82" t="s">
        <v>80</v>
      </c>
    </row>
    <row r="33" spans="1:25" hidden="1">
      <c r="A33" s="79" t="s">
        <v>61</v>
      </c>
      <c r="B33" s="79" t="s">
        <v>181</v>
      </c>
      <c r="C33" s="79" t="s">
        <v>182</v>
      </c>
      <c r="D33" s="80" t="s">
        <v>183</v>
      </c>
      <c r="E33" s="83" t="s">
        <v>65</v>
      </c>
      <c r="F33" s="85" t="s">
        <v>77</v>
      </c>
      <c r="G33" s="79" t="s">
        <v>117</v>
      </c>
      <c r="H33" s="79" t="s">
        <v>179</v>
      </c>
      <c r="I33" s="81" t="s">
        <v>179</v>
      </c>
      <c r="J33" s="81"/>
      <c r="K33" s="131"/>
      <c r="L33" s="131"/>
      <c r="M33" s="131" t="e">
        <v>#N/A</v>
      </c>
      <c r="N33" s="131"/>
      <c r="O33" s="131"/>
      <c r="P33" s="84" t="s">
        <v>77</v>
      </c>
      <c r="Q33" s="87">
        <v>46087</v>
      </c>
      <c r="R33" s="86">
        <v>46088</v>
      </c>
      <c r="S33" s="148"/>
      <c r="T33" s="82"/>
      <c r="U33" s="82"/>
      <c r="V33" s="82" t="s">
        <v>119</v>
      </c>
      <c r="W33" s="82" t="s">
        <v>184</v>
      </c>
      <c r="X33" s="82" t="s">
        <v>84</v>
      </c>
      <c r="Y33" s="82" t="s">
        <v>73</v>
      </c>
    </row>
    <row r="34" spans="1:25" hidden="1">
      <c r="A34" s="79" t="s">
        <v>61</v>
      </c>
      <c r="B34" s="79" t="s">
        <v>185</v>
      </c>
      <c r="C34" s="79" t="s">
        <v>186</v>
      </c>
      <c r="D34" s="80" t="s">
        <v>870</v>
      </c>
      <c r="E34" s="83" t="s">
        <v>65</v>
      </c>
      <c r="F34" s="85" t="s">
        <v>66</v>
      </c>
      <c r="G34" s="79" t="s">
        <v>117</v>
      </c>
      <c r="H34" s="79" t="s">
        <v>188</v>
      </c>
      <c r="I34" s="81" t="s">
        <v>188</v>
      </c>
      <c r="J34" s="81"/>
      <c r="K34" s="131"/>
      <c r="L34" s="131"/>
      <c r="M34" s="131" t="e">
        <v>#N/A</v>
      </c>
      <c r="N34" s="131"/>
      <c r="O34" s="131"/>
      <c r="P34" s="84" t="s">
        <v>66</v>
      </c>
      <c r="Q34" s="87"/>
      <c r="R34" s="86"/>
      <c r="S34" s="148"/>
      <c r="T34" s="82"/>
      <c r="U34" s="82"/>
      <c r="V34" s="82" t="s">
        <v>119</v>
      </c>
      <c r="W34" s="82" t="s">
        <v>164</v>
      </c>
      <c r="X34" s="82" t="s">
        <v>72</v>
      </c>
      <c r="Y34" s="82" t="s">
        <v>80</v>
      </c>
    </row>
    <row r="35" spans="1:25" hidden="1">
      <c r="A35" s="79" t="s">
        <v>61</v>
      </c>
      <c r="B35" s="79" t="s">
        <v>189</v>
      </c>
      <c r="C35" s="79" t="s">
        <v>190</v>
      </c>
      <c r="D35" s="80" t="s">
        <v>191</v>
      </c>
      <c r="E35" s="178" t="s">
        <v>192</v>
      </c>
      <c r="F35" s="179" t="s">
        <v>77</v>
      </c>
      <c r="G35" s="79" t="s">
        <v>117</v>
      </c>
      <c r="H35" s="79" t="s">
        <v>179</v>
      </c>
      <c r="I35" s="81" t="s">
        <v>179</v>
      </c>
      <c r="J35" s="102" t="s">
        <v>17</v>
      </c>
      <c r="K35" s="131" t="s">
        <v>17</v>
      </c>
      <c r="L35" s="131" t="s">
        <v>193</v>
      </c>
      <c r="M35" s="131" t="e">
        <v>#N/A</v>
      </c>
      <c r="N35" s="131"/>
      <c r="O35" s="131"/>
      <c r="P35" s="84" t="s">
        <v>77</v>
      </c>
      <c r="Q35" s="87"/>
      <c r="R35" s="86"/>
      <c r="S35" s="148"/>
      <c r="T35" s="82"/>
      <c r="U35" s="82"/>
      <c r="V35" s="82" t="s">
        <v>119</v>
      </c>
      <c r="W35" s="82" t="s">
        <v>184</v>
      </c>
      <c r="X35" s="82" t="s">
        <v>84</v>
      </c>
      <c r="Y35" s="82" t="s">
        <v>73</v>
      </c>
    </row>
    <row r="36" spans="1:25">
      <c r="A36" s="79" t="s">
        <v>61</v>
      </c>
      <c r="B36" s="79" t="s">
        <v>745</v>
      </c>
      <c r="C36" s="79" t="s">
        <v>746</v>
      </c>
      <c r="D36" s="80" t="s">
        <v>747</v>
      </c>
      <c r="E36" s="83" t="s">
        <v>65</v>
      </c>
      <c r="F36" s="85" t="s">
        <v>66</v>
      </c>
      <c r="G36" s="79" t="s">
        <v>203</v>
      </c>
      <c r="H36" s="79" t="s">
        <v>204</v>
      </c>
      <c r="I36" s="81" t="s">
        <v>204</v>
      </c>
      <c r="J36" s="102"/>
      <c r="K36" s="131"/>
      <c r="L36" s="131"/>
      <c r="M36" s="131">
        <v>0</v>
      </c>
      <c r="N36" s="131">
        <v>1</v>
      </c>
      <c r="O36" s="131" t="s">
        <v>871</v>
      </c>
      <c r="P36" s="84" t="s">
        <v>66</v>
      </c>
      <c r="Q36" s="87">
        <v>46091</v>
      </c>
      <c r="R36" s="86">
        <v>46093</v>
      </c>
      <c r="S36" s="148"/>
      <c r="T36" s="82"/>
      <c r="U36" s="82"/>
      <c r="V36" s="82" t="s">
        <v>70</v>
      </c>
      <c r="W36" s="82" t="s">
        <v>209</v>
      </c>
      <c r="X36" s="82" t="s">
        <v>84</v>
      </c>
      <c r="Y36" s="82" t="s">
        <v>73</v>
      </c>
    </row>
    <row r="37" spans="1:25">
      <c r="A37" s="79" t="s">
        <v>61</v>
      </c>
      <c r="B37" s="79">
        <v>16</v>
      </c>
      <c r="C37" s="79" t="s">
        <v>214</v>
      </c>
      <c r="D37" s="146" t="s">
        <v>215</v>
      </c>
      <c r="E37" s="83" t="s">
        <v>65</v>
      </c>
      <c r="F37" s="85" t="s">
        <v>77</v>
      </c>
      <c r="G37" s="79" t="s">
        <v>203</v>
      </c>
      <c r="H37" s="203" t="s">
        <v>415</v>
      </c>
      <c r="I37" s="205" t="s">
        <v>415</v>
      </c>
      <c r="J37" s="102" t="s">
        <v>16</v>
      </c>
      <c r="K37" s="131" t="s">
        <v>16</v>
      </c>
      <c r="L37" s="131"/>
      <c r="M37" s="131">
        <v>0</v>
      </c>
      <c r="N37" s="131">
        <v>0.6</v>
      </c>
      <c r="O37" s="131" t="s">
        <v>872</v>
      </c>
      <c r="P37" s="84" t="s">
        <v>77</v>
      </c>
      <c r="Q37" s="87"/>
      <c r="R37" s="86"/>
      <c r="S37" s="148" t="s">
        <v>159</v>
      </c>
      <c r="T37" s="82"/>
      <c r="U37" s="82"/>
      <c r="V37" s="82" t="s">
        <v>70</v>
      </c>
      <c r="W37" s="82" t="s">
        <v>209</v>
      </c>
      <c r="X37" s="82" t="s">
        <v>72</v>
      </c>
      <c r="Y37" s="82" t="s">
        <v>80</v>
      </c>
    </row>
    <row r="38" spans="1:25">
      <c r="A38" s="79" t="s">
        <v>61</v>
      </c>
      <c r="B38" s="79" t="s">
        <v>245</v>
      </c>
      <c r="C38" s="79" t="s">
        <v>246</v>
      </c>
      <c r="D38" s="112" t="s">
        <v>247</v>
      </c>
      <c r="E38" s="83" t="s">
        <v>65</v>
      </c>
      <c r="F38" s="85" t="s">
        <v>66</v>
      </c>
      <c r="G38" s="79" t="s">
        <v>203</v>
      </c>
      <c r="H38" s="79" t="s">
        <v>204</v>
      </c>
      <c r="I38" s="81" t="s">
        <v>204</v>
      </c>
      <c r="J38" s="102" t="s">
        <v>16</v>
      </c>
      <c r="K38" s="131" t="s">
        <v>16</v>
      </c>
      <c r="L38" s="131" t="s">
        <v>193</v>
      </c>
      <c r="M38" s="131">
        <v>0</v>
      </c>
      <c r="N38" s="131">
        <v>1</v>
      </c>
      <c r="O38" s="131" t="s">
        <v>873</v>
      </c>
      <c r="P38" s="84" t="s">
        <v>66</v>
      </c>
      <c r="Q38" s="87"/>
      <c r="R38" s="86"/>
      <c r="S38" s="148" t="s">
        <v>248</v>
      </c>
      <c r="T38" s="82"/>
      <c r="U38" s="82"/>
      <c r="V38" s="82" t="s">
        <v>70</v>
      </c>
      <c r="W38" s="82" t="s">
        <v>209</v>
      </c>
      <c r="X38" s="82" t="s">
        <v>84</v>
      </c>
      <c r="Y38" s="82" t="s">
        <v>73</v>
      </c>
    </row>
    <row r="39" spans="1:25">
      <c r="A39" s="79" t="s">
        <v>61</v>
      </c>
      <c r="B39" s="79" t="s">
        <v>257</v>
      </c>
      <c r="C39" s="79" t="s">
        <v>258</v>
      </c>
      <c r="D39" s="80" t="s">
        <v>259</v>
      </c>
      <c r="E39" s="83" t="s">
        <v>65</v>
      </c>
      <c r="F39" s="85" t="s">
        <v>66</v>
      </c>
      <c r="G39" s="79" t="s">
        <v>203</v>
      </c>
      <c r="H39" s="79" t="s">
        <v>204</v>
      </c>
      <c r="I39" s="81" t="s">
        <v>204</v>
      </c>
      <c r="J39" s="81"/>
      <c r="K39" s="131"/>
      <c r="L39" s="131" t="s">
        <v>193</v>
      </c>
      <c r="M39" s="131">
        <v>0.5</v>
      </c>
      <c r="N39" s="131">
        <v>1.2</v>
      </c>
      <c r="O39" s="131" t="s">
        <v>865</v>
      </c>
      <c r="P39" s="84" t="s">
        <v>66</v>
      </c>
      <c r="Q39" s="87">
        <v>46071</v>
      </c>
      <c r="R39" s="86">
        <v>46082</v>
      </c>
      <c r="S39" s="148" t="s">
        <v>874</v>
      </c>
      <c r="T39" s="82"/>
      <c r="U39" s="82"/>
      <c r="V39" s="82" t="s">
        <v>70</v>
      </c>
      <c r="W39" s="82" t="s">
        <v>209</v>
      </c>
      <c r="X39" s="82" t="s">
        <v>84</v>
      </c>
      <c r="Y39" s="82" t="s">
        <v>73</v>
      </c>
    </row>
    <row r="40" spans="1:25">
      <c r="A40" s="79" t="s">
        <v>61</v>
      </c>
      <c r="B40" s="79" t="s">
        <v>748</v>
      </c>
      <c r="C40" s="79" t="s">
        <v>749</v>
      </c>
      <c r="D40" s="80" t="s">
        <v>750</v>
      </c>
      <c r="E40" s="83" t="s">
        <v>65</v>
      </c>
      <c r="F40" s="85" t="s">
        <v>66</v>
      </c>
      <c r="G40" s="79" t="s">
        <v>203</v>
      </c>
      <c r="H40" s="79" t="s">
        <v>204</v>
      </c>
      <c r="I40" s="81" t="s">
        <v>204</v>
      </c>
      <c r="J40" s="81"/>
      <c r="K40" s="131"/>
      <c r="L40" s="131"/>
      <c r="M40" s="131">
        <v>0.6</v>
      </c>
      <c r="N40" s="131">
        <v>1</v>
      </c>
      <c r="O40" s="131" t="s">
        <v>865</v>
      </c>
      <c r="P40" s="84" t="s">
        <v>66</v>
      </c>
      <c r="Q40" s="87"/>
      <c r="R40" s="86"/>
      <c r="S40" s="148"/>
      <c r="T40" s="82"/>
      <c r="U40" s="82"/>
      <c r="V40" s="82" t="s">
        <v>70</v>
      </c>
      <c r="W40" s="82" t="s">
        <v>209</v>
      </c>
      <c r="X40" s="82" t="s">
        <v>72</v>
      </c>
      <c r="Y40" s="82" t="s">
        <v>80</v>
      </c>
    </row>
    <row r="41" spans="1:25">
      <c r="A41" s="79" t="s">
        <v>61</v>
      </c>
      <c r="B41" s="79" t="s">
        <v>237</v>
      </c>
      <c r="C41" s="79" t="s">
        <v>237</v>
      </c>
      <c r="D41" s="114" t="s">
        <v>238</v>
      </c>
      <c r="E41" s="83" t="s">
        <v>65</v>
      </c>
      <c r="F41" s="85" t="s">
        <v>77</v>
      </c>
      <c r="G41" s="79" t="s">
        <v>203</v>
      </c>
      <c r="H41" s="115" t="s">
        <v>204</v>
      </c>
      <c r="I41" s="116" t="s">
        <v>204</v>
      </c>
      <c r="J41" s="81"/>
      <c r="K41" s="131"/>
      <c r="L41" s="131"/>
      <c r="M41" s="131">
        <v>0.6</v>
      </c>
      <c r="N41" s="131">
        <v>1</v>
      </c>
      <c r="O41" s="131" t="s">
        <v>872</v>
      </c>
      <c r="P41" s="84" t="s">
        <v>77</v>
      </c>
      <c r="Q41" s="87"/>
      <c r="R41" s="86"/>
      <c r="S41" s="148"/>
      <c r="T41" s="82"/>
      <c r="U41" s="82"/>
      <c r="V41" s="82" t="s">
        <v>70</v>
      </c>
      <c r="W41" s="82" t="s">
        <v>209</v>
      </c>
      <c r="X41" s="82" t="s">
        <v>84</v>
      </c>
      <c r="Y41" s="82" t="s">
        <v>73</v>
      </c>
    </row>
    <row r="42" spans="1:25">
      <c r="A42" s="79" t="s">
        <v>61</v>
      </c>
      <c r="B42" s="79" t="s">
        <v>206</v>
      </c>
      <c r="C42" s="79" t="s">
        <v>207</v>
      </c>
      <c r="D42" s="80" t="s">
        <v>208</v>
      </c>
      <c r="E42" s="83" t="s">
        <v>65</v>
      </c>
      <c r="F42" s="85" t="s">
        <v>66</v>
      </c>
      <c r="G42" s="79" t="s">
        <v>203</v>
      </c>
      <c r="H42" s="79" t="s">
        <v>204</v>
      </c>
      <c r="I42" s="81" t="s">
        <v>204</v>
      </c>
      <c r="J42" s="81"/>
      <c r="K42" s="131"/>
      <c r="L42" s="131"/>
      <c r="M42" s="131">
        <v>1</v>
      </c>
      <c r="N42" s="131">
        <v>1.2</v>
      </c>
      <c r="O42" s="131" t="s">
        <v>865</v>
      </c>
      <c r="P42" s="84" t="s">
        <v>66</v>
      </c>
      <c r="Q42" s="87">
        <v>46065</v>
      </c>
      <c r="R42" s="86">
        <v>46066</v>
      </c>
      <c r="S42" s="148"/>
      <c r="T42" s="82"/>
      <c r="U42" s="82"/>
      <c r="V42" s="82" t="s">
        <v>70</v>
      </c>
      <c r="W42" s="82" t="s">
        <v>209</v>
      </c>
      <c r="X42" s="82" t="s">
        <v>72</v>
      </c>
      <c r="Y42" s="82" t="s">
        <v>80</v>
      </c>
    </row>
    <row r="43" spans="1:25">
      <c r="A43" s="79" t="s">
        <v>61</v>
      </c>
      <c r="B43" s="79" t="s">
        <v>222</v>
      </c>
      <c r="C43" s="79" t="s">
        <v>223</v>
      </c>
      <c r="D43" s="80" t="s">
        <v>224</v>
      </c>
      <c r="E43" s="83" t="s">
        <v>65</v>
      </c>
      <c r="F43" s="85" t="s">
        <v>77</v>
      </c>
      <c r="G43" s="79" t="s">
        <v>203</v>
      </c>
      <c r="H43" s="79" t="s">
        <v>204</v>
      </c>
      <c r="I43" s="81" t="s">
        <v>204</v>
      </c>
      <c r="J43" s="81"/>
      <c r="K43" s="131"/>
      <c r="L43" s="131"/>
      <c r="M43" s="131">
        <v>1</v>
      </c>
      <c r="N43" s="131">
        <v>1.2</v>
      </c>
      <c r="O43" s="131" t="s">
        <v>865</v>
      </c>
      <c r="P43" s="84" t="s">
        <v>77</v>
      </c>
      <c r="Q43" s="87"/>
      <c r="R43" s="86"/>
      <c r="S43" s="148"/>
      <c r="T43" s="82"/>
      <c r="U43" s="82"/>
      <c r="V43" s="82" t="s">
        <v>70</v>
      </c>
      <c r="W43" s="82" t="s">
        <v>209</v>
      </c>
      <c r="X43" s="82" t="s">
        <v>72</v>
      </c>
      <c r="Y43" s="82" t="s">
        <v>80</v>
      </c>
    </row>
    <row r="44" spans="1:25">
      <c r="A44" s="79" t="s">
        <v>61</v>
      </c>
      <c r="B44" s="79" t="s">
        <v>228</v>
      </c>
      <c r="C44" s="79" t="s">
        <v>229</v>
      </c>
      <c r="D44" s="80" t="s">
        <v>230</v>
      </c>
      <c r="E44" s="83" t="s">
        <v>65</v>
      </c>
      <c r="F44" s="85" t="s">
        <v>66</v>
      </c>
      <c r="G44" s="79" t="s">
        <v>203</v>
      </c>
      <c r="H44" s="79" t="s">
        <v>204</v>
      </c>
      <c r="I44" s="81" t="s">
        <v>204</v>
      </c>
      <c r="J44" s="81"/>
      <c r="K44" s="131"/>
      <c r="L44" s="131"/>
      <c r="M44" s="131">
        <v>1</v>
      </c>
      <c r="N44" s="131">
        <v>1.2</v>
      </c>
      <c r="O44" s="131" t="s">
        <v>865</v>
      </c>
      <c r="P44" s="84" t="s">
        <v>66</v>
      </c>
      <c r="Q44" s="87"/>
      <c r="R44" s="86"/>
      <c r="S44" s="148"/>
      <c r="T44" s="82"/>
      <c r="U44" s="82"/>
      <c r="V44" s="82" t="s">
        <v>70</v>
      </c>
      <c r="W44" s="82" t="s">
        <v>209</v>
      </c>
      <c r="X44" s="82" t="s">
        <v>72</v>
      </c>
      <c r="Y44" s="82" t="s">
        <v>80</v>
      </c>
    </row>
    <row r="45" spans="1:25">
      <c r="A45" s="79" t="s">
        <v>61</v>
      </c>
      <c r="B45" s="79" t="s">
        <v>231</v>
      </c>
      <c r="C45" s="79" t="s">
        <v>232</v>
      </c>
      <c r="D45" s="80" t="s">
        <v>233</v>
      </c>
      <c r="E45" s="83" t="s">
        <v>65</v>
      </c>
      <c r="F45" s="85" t="s">
        <v>77</v>
      </c>
      <c r="G45" s="79" t="s">
        <v>203</v>
      </c>
      <c r="H45" s="79" t="s">
        <v>204</v>
      </c>
      <c r="I45" s="81" t="s">
        <v>364</v>
      </c>
      <c r="J45" s="81"/>
      <c r="K45" s="131"/>
      <c r="L45" s="131"/>
      <c r="M45" s="131">
        <v>1</v>
      </c>
      <c r="N45" s="131">
        <v>1.2</v>
      </c>
      <c r="O45" s="131" t="s">
        <v>865</v>
      </c>
      <c r="P45" s="84" t="s">
        <v>77</v>
      </c>
      <c r="Q45" s="87"/>
      <c r="R45" s="86"/>
      <c r="S45" s="148"/>
      <c r="T45" s="82"/>
      <c r="U45" s="82"/>
      <c r="V45" s="82" t="s">
        <v>70</v>
      </c>
      <c r="W45" s="82" t="s">
        <v>209</v>
      </c>
      <c r="X45" s="82" t="e">
        <v>#N/A</v>
      </c>
      <c r="Y45" s="82" t="e">
        <v>#N/A</v>
      </c>
    </row>
    <row r="46" spans="1:25">
      <c r="A46" s="79" t="s">
        <v>61</v>
      </c>
      <c r="B46" s="79" t="s">
        <v>239</v>
      </c>
      <c r="C46" s="79" t="s">
        <v>240</v>
      </c>
      <c r="D46" s="80" t="s">
        <v>241</v>
      </c>
      <c r="E46" s="83" t="s">
        <v>65</v>
      </c>
      <c r="F46" s="85" t="s">
        <v>66</v>
      </c>
      <c r="G46" s="79" t="s">
        <v>203</v>
      </c>
      <c r="H46" s="79" t="s">
        <v>204</v>
      </c>
      <c r="I46" s="81" t="s">
        <v>204</v>
      </c>
      <c r="J46" s="81"/>
      <c r="K46" s="131"/>
      <c r="L46" s="131"/>
      <c r="M46" s="131">
        <v>1</v>
      </c>
      <c r="N46" s="131">
        <v>1.2</v>
      </c>
      <c r="O46" s="131" t="s">
        <v>865</v>
      </c>
      <c r="P46" s="84" t="s">
        <v>66</v>
      </c>
      <c r="Q46" s="87">
        <v>46070</v>
      </c>
      <c r="R46" s="86">
        <v>46072</v>
      </c>
      <c r="S46" s="148"/>
      <c r="T46" s="82"/>
      <c r="U46" s="82"/>
      <c r="V46" s="82" t="s">
        <v>70</v>
      </c>
      <c r="W46" s="82" t="s">
        <v>209</v>
      </c>
      <c r="X46" s="82" t="s">
        <v>84</v>
      </c>
      <c r="Y46" s="82" t="s">
        <v>73</v>
      </c>
    </row>
    <row r="47" spans="1:25">
      <c r="A47" s="79" t="s">
        <v>61</v>
      </c>
      <c r="B47" s="79" t="s">
        <v>242</v>
      </c>
      <c r="C47" s="79" t="s">
        <v>243</v>
      </c>
      <c r="D47" s="80" t="s">
        <v>244</v>
      </c>
      <c r="E47" s="83" t="s">
        <v>65</v>
      </c>
      <c r="F47" s="85" t="s">
        <v>66</v>
      </c>
      <c r="G47" s="79" t="s">
        <v>203</v>
      </c>
      <c r="H47" s="79" t="s">
        <v>204</v>
      </c>
      <c r="I47" s="81" t="s">
        <v>204</v>
      </c>
      <c r="J47" s="81"/>
      <c r="K47" s="131"/>
      <c r="L47" s="131"/>
      <c r="M47" s="131">
        <v>1</v>
      </c>
      <c r="N47" s="131">
        <v>1.2</v>
      </c>
      <c r="O47" s="131" t="s">
        <v>865</v>
      </c>
      <c r="P47" s="84" t="s">
        <v>66</v>
      </c>
      <c r="Q47" s="87"/>
      <c r="R47" s="86"/>
      <c r="S47" s="148"/>
      <c r="T47" s="82"/>
      <c r="U47" s="82"/>
      <c r="V47" s="82" t="s">
        <v>70</v>
      </c>
      <c r="W47" s="82" t="s">
        <v>209</v>
      </c>
      <c r="X47" s="82" t="s">
        <v>72</v>
      </c>
      <c r="Y47" s="82" t="s">
        <v>73</v>
      </c>
    </row>
    <row r="48" spans="1:25">
      <c r="A48" s="79" t="s">
        <v>61</v>
      </c>
      <c r="B48" s="79" t="s">
        <v>200</v>
      </c>
      <c r="C48" s="79" t="s">
        <v>201</v>
      </c>
      <c r="D48" s="80" t="s">
        <v>202</v>
      </c>
      <c r="E48" s="83" t="s">
        <v>65</v>
      </c>
      <c r="F48" s="85" t="s">
        <v>77</v>
      </c>
      <c r="G48" s="79" t="s">
        <v>203</v>
      </c>
      <c r="H48" s="79" t="s">
        <v>204</v>
      </c>
      <c r="I48" s="81" t="s">
        <v>204</v>
      </c>
      <c r="J48" s="81"/>
      <c r="K48" s="131"/>
      <c r="L48" s="131"/>
      <c r="M48" s="131">
        <v>1</v>
      </c>
      <c r="N48" s="131">
        <v>1.2</v>
      </c>
      <c r="O48" s="131" t="s">
        <v>865</v>
      </c>
      <c r="P48" s="84" t="s">
        <v>77</v>
      </c>
      <c r="Q48" s="87"/>
      <c r="R48" s="86"/>
      <c r="S48" s="148"/>
      <c r="T48" s="82"/>
      <c r="U48" s="82"/>
      <c r="V48" s="82" t="s">
        <v>70</v>
      </c>
      <c r="W48" s="82" t="s">
        <v>205</v>
      </c>
      <c r="X48" s="82" t="s">
        <v>72</v>
      </c>
      <c r="Y48" s="82" t="s">
        <v>80</v>
      </c>
    </row>
    <row r="49" spans="1:25">
      <c r="A49" s="79" t="s">
        <v>61</v>
      </c>
      <c r="B49" s="79" t="s">
        <v>217</v>
      </c>
      <c r="C49" s="79" t="s">
        <v>218</v>
      </c>
      <c r="D49" s="80" t="s">
        <v>219</v>
      </c>
      <c r="E49" s="83" t="s">
        <v>65</v>
      </c>
      <c r="F49" s="85" t="s">
        <v>77</v>
      </c>
      <c r="G49" s="79" t="s">
        <v>203</v>
      </c>
      <c r="H49" s="79" t="s">
        <v>204</v>
      </c>
      <c r="I49" s="81" t="s">
        <v>204</v>
      </c>
      <c r="J49" s="81"/>
      <c r="K49" s="131"/>
      <c r="L49" s="131"/>
      <c r="M49" s="131">
        <v>1</v>
      </c>
      <c r="N49" s="131">
        <v>1.2</v>
      </c>
      <c r="O49" s="131" t="s">
        <v>865</v>
      </c>
      <c r="P49" s="84" t="s">
        <v>77</v>
      </c>
      <c r="Q49" s="87"/>
      <c r="R49" s="86"/>
      <c r="S49" s="148" t="s">
        <v>875</v>
      </c>
      <c r="T49" s="82"/>
      <c r="U49" s="82"/>
      <c r="V49" s="82" t="s">
        <v>70</v>
      </c>
      <c r="W49" s="82" t="s">
        <v>79</v>
      </c>
      <c r="X49" s="82" t="e">
        <v>#N/A</v>
      </c>
      <c r="Y49" s="82" t="e">
        <v>#N/A</v>
      </c>
    </row>
    <row r="50" spans="1:25">
      <c r="A50" s="79" t="s">
        <v>61</v>
      </c>
      <c r="B50" s="79" t="s">
        <v>260</v>
      </c>
      <c r="C50" s="79" t="s">
        <v>261</v>
      </c>
      <c r="D50" s="80" t="s">
        <v>262</v>
      </c>
      <c r="E50" s="83" t="s">
        <v>65</v>
      </c>
      <c r="F50" s="85" t="s">
        <v>66</v>
      </c>
      <c r="G50" s="79" t="s">
        <v>203</v>
      </c>
      <c r="H50" s="79" t="s">
        <v>204</v>
      </c>
      <c r="I50" s="81" t="s">
        <v>204</v>
      </c>
      <c r="J50" s="81"/>
      <c r="K50" s="131"/>
      <c r="L50" s="131"/>
      <c r="M50" s="131">
        <v>1</v>
      </c>
      <c r="N50" s="131">
        <v>1.2</v>
      </c>
      <c r="O50" s="131" t="s">
        <v>865</v>
      </c>
      <c r="P50" s="84" t="s">
        <v>66</v>
      </c>
      <c r="Q50" s="87"/>
      <c r="R50" s="86"/>
      <c r="S50" s="148"/>
      <c r="T50" s="82"/>
      <c r="U50" s="82"/>
      <c r="V50" s="82" t="s">
        <v>70</v>
      </c>
      <c r="W50" s="82" t="s">
        <v>209</v>
      </c>
      <c r="X50" s="82" t="e">
        <v>#N/A</v>
      </c>
      <c r="Y50" s="82" t="e">
        <v>#N/A</v>
      </c>
    </row>
    <row r="51" spans="1:25">
      <c r="A51" s="79" t="s">
        <v>61</v>
      </c>
      <c r="B51" s="79" t="s">
        <v>225</v>
      </c>
      <c r="C51" s="79" t="s">
        <v>226</v>
      </c>
      <c r="D51" s="80" t="s">
        <v>227</v>
      </c>
      <c r="E51" s="83" t="s">
        <v>65</v>
      </c>
      <c r="F51" s="85" t="s">
        <v>66</v>
      </c>
      <c r="G51" s="79" t="s">
        <v>203</v>
      </c>
      <c r="H51" s="79" t="s">
        <v>204</v>
      </c>
      <c r="I51" s="81" t="s">
        <v>204</v>
      </c>
      <c r="J51" s="81"/>
      <c r="K51" s="131"/>
      <c r="L51" s="131"/>
      <c r="M51" s="131">
        <v>1.2</v>
      </c>
      <c r="N51" s="131">
        <v>1.2</v>
      </c>
      <c r="O51" s="131" t="s">
        <v>865</v>
      </c>
      <c r="P51" s="84" t="s">
        <v>66</v>
      </c>
      <c r="Q51" s="87">
        <v>46080</v>
      </c>
      <c r="R51" s="86"/>
      <c r="S51" s="148"/>
      <c r="T51" s="82"/>
      <c r="U51" s="82"/>
      <c r="V51" s="82" t="s">
        <v>70</v>
      </c>
      <c r="W51" s="82" t="s">
        <v>209</v>
      </c>
      <c r="X51" s="82" t="s">
        <v>84</v>
      </c>
      <c r="Y51" s="82" t="s">
        <v>73</v>
      </c>
    </row>
    <row r="52" spans="1:25">
      <c r="A52" s="79" t="s">
        <v>61</v>
      </c>
      <c r="B52" s="79" t="s">
        <v>210</v>
      </c>
      <c r="C52" s="79" t="s">
        <v>211</v>
      </c>
      <c r="D52" s="80" t="s">
        <v>212</v>
      </c>
      <c r="E52" s="83" t="s">
        <v>65</v>
      </c>
      <c r="F52" s="85" t="s">
        <v>66</v>
      </c>
      <c r="G52" s="79" t="s">
        <v>203</v>
      </c>
      <c r="H52" s="79" t="s">
        <v>204</v>
      </c>
      <c r="I52" s="81" t="s">
        <v>204</v>
      </c>
      <c r="J52" s="81"/>
      <c r="K52" s="131"/>
      <c r="L52" s="131"/>
      <c r="M52" s="131">
        <v>1.4</v>
      </c>
      <c r="N52" s="131">
        <v>1.4</v>
      </c>
      <c r="O52" s="131" t="s">
        <v>865</v>
      </c>
      <c r="P52" s="84" t="s">
        <v>66</v>
      </c>
      <c r="Q52" s="87">
        <v>46072</v>
      </c>
      <c r="R52" s="86"/>
      <c r="S52" s="148" t="s">
        <v>876</v>
      </c>
      <c r="T52" s="82"/>
      <c r="U52" s="82"/>
      <c r="V52" s="82" t="s">
        <v>70</v>
      </c>
      <c r="W52" s="82" t="s">
        <v>209</v>
      </c>
      <c r="X52" s="82" t="s">
        <v>72</v>
      </c>
      <c r="Y52" s="82" t="s">
        <v>80</v>
      </c>
    </row>
    <row r="53" spans="1:25">
      <c r="A53" s="79" t="s">
        <v>61</v>
      </c>
      <c r="B53" s="79" t="s">
        <v>234</v>
      </c>
      <c r="C53" s="79" t="s">
        <v>235</v>
      </c>
      <c r="D53" s="80" t="s">
        <v>236</v>
      </c>
      <c r="E53" s="83" t="s">
        <v>65</v>
      </c>
      <c r="F53" s="85" t="s">
        <v>66</v>
      </c>
      <c r="G53" s="79" t="s">
        <v>203</v>
      </c>
      <c r="H53" s="79" t="s">
        <v>204</v>
      </c>
      <c r="I53" s="81" t="s">
        <v>204</v>
      </c>
      <c r="J53" s="81"/>
      <c r="K53" s="131"/>
      <c r="L53" s="131"/>
      <c r="M53" s="131">
        <v>1.4</v>
      </c>
      <c r="N53" s="131">
        <v>1.4</v>
      </c>
      <c r="O53" s="131" t="s">
        <v>865</v>
      </c>
      <c r="P53" s="84" t="s">
        <v>66</v>
      </c>
      <c r="Q53" s="87"/>
      <c r="R53" s="86"/>
      <c r="S53" s="148"/>
      <c r="T53" s="82"/>
      <c r="U53" s="82"/>
      <c r="V53" s="82" t="s">
        <v>70</v>
      </c>
      <c r="W53" s="82" t="s">
        <v>209</v>
      </c>
      <c r="X53" s="82" t="s">
        <v>72</v>
      </c>
      <c r="Y53" s="82" t="s">
        <v>80</v>
      </c>
    </row>
    <row r="54" spans="1:25" hidden="1">
      <c r="A54" s="79" t="s">
        <v>61</v>
      </c>
      <c r="B54" s="79" t="s">
        <v>280</v>
      </c>
      <c r="C54" s="79" t="s">
        <v>281</v>
      </c>
      <c r="D54" s="80" t="s">
        <v>282</v>
      </c>
      <c r="E54" s="83" t="s">
        <v>65</v>
      </c>
      <c r="F54" s="85" t="s">
        <v>77</v>
      </c>
      <c r="G54" s="79" t="s">
        <v>266</v>
      </c>
      <c r="H54" s="79" t="s">
        <v>273</v>
      </c>
      <c r="I54" s="81" t="s">
        <v>273</v>
      </c>
      <c r="J54" s="81"/>
      <c r="K54" s="131"/>
      <c r="L54" s="131"/>
      <c r="M54" s="131">
        <v>1</v>
      </c>
      <c r="N54" s="131"/>
      <c r="O54" s="131"/>
      <c r="P54" s="84" t="s">
        <v>77</v>
      </c>
      <c r="Q54" s="87"/>
      <c r="R54" s="86"/>
      <c r="S54" s="148"/>
      <c r="T54" s="82"/>
      <c r="U54" s="82"/>
      <c r="V54" s="82" t="s">
        <v>119</v>
      </c>
      <c r="W54" s="82" t="s">
        <v>269</v>
      </c>
      <c r="X54" s="82" t="s">
        <v>84</v>
      </c>
      <c r="Y54" s="82" t="s">
        <v>73</v>
      </c>
    </row>
    <row r="55" spans="1:25" hidden="1">
      <c r="A55" s="79" t="s">
        <v>61</v>
      </c>
      <c r="B55" s="79" t="s">
        <v>311</v>
      </c>
      <c r="C55" s="79" t="s">
        <v>312</v>
      </c>
      <c r="D55" s="80" t="s">
        <v>313</v>
      </c>
      <c r="E55" s="83" t="s">
        <v>65</v>
      </c>
      <c r="F55" s="85" t="s">
        <v>66</v>
      </c>
      <c r="G55" s="79" t="s">
        <v>266</v>
      </c>
      <c r="H55" s="79" t="s">
        <v>267</v>
      </c>
      <c r="I55" s="81" t="s">
        <v>267</v>
      </c>
      <c r="J55" s="81"/>
      <c r="K55" s="131"/>
      <c r="L55" s="131"/>
      <c r="M55" s="131">
        <v>1</v>
      </c>
      <c r="N55" s="131"/>
      <c r="O55" s="131"/>
      <c r="P55" s="84" t="s">
        <v>66</v>
      </c>
      <c r="Q55" s="87"/>
      <c r="R55" s="86"/>
      <c r="S55" s="148"/>
      <c r="T55" s="82"/>
      <c r="U55" s="82"/>
      <c r="V55" s="82" t="s">
        <v>119</v>
      </c>
      <c r="W55" s="82" t="s">
        <v>120</v>
      </c>
      <c r="X55" s="82" t="s">
        <v>72</v>
      </c>
      <c r="Y55" s="82" t="s">
        <v>80</v>
      </c>
    </row>
    <row r="56" spans="1:25" hidden="1">
      <c r="A56" s="79" t="s">
        <v>61</v>
      </c>
      <c r="B56" s="79" t="s">
        <v>298</v>
      </c>
      <c r="C56" s="79" t="s">
        <v>299</v>
      </c>
      <c r="D56" s="80" t="s">
        <v>300</v>
      </c>
      <c r="E56" s="83" t="s">
        <v>65</v>
      </c>
      <c r="F56" s="85" t="s">
        <v>66</v>
      </c>
      <c r="G56" s="79" t="s">
        <v>266</v>
      </c>
      <c r="H56" s="79" t="s">
        <v>267</v>
      </c>
      <c r="I56" s="81" t="s">
        <v>267</v>
      </c>
      <c r="J56" s="81"/>
      <c r="K56" s="131"/>
      <c r="L56" s="131"/>
      <c r="M56" s="131">
        <v>1</v>
      </c>
      <c r="N56" s="131"/>
      <c r="O56" s="131"/>
      <c r="P56" s="84" t="s">
        <v>66</v>
      </c>
      <c r="Q56" s="87"/>
      <c r="R56" s="86"/>
      <c r="S56" s="148"/>
      <c r="T56" s="82"/>
      <c r="U56" s="82"/>
      <c r="V56" s="82" t="s">
        <v>119</v>
      </c>
      <c r="W56" s="82" t="s">
        <v>133</v>
      </c>
      <c r="X56" s="82" t="s">
        <v>72</v>
      </c>
      <c r="Y56" s="82" t="s">
        <v>73</v>
      </c>
    </row>
    <row r="57" spans="1:25" hidden="1">
      <c r="A57" s="79" t="s">
        <v>61</v>
      </c>
      <c r="B57" s="79" t="s">
        <v>263</v>
      </c>
      <c r="C57" s="79" t="s">
        <v>264</v>
      </c>
      <c r="D57" s="80" t="s">
        <v>265</v>
      </c>
      <c r="E57" s="83" t="s">
        <v>65</v>
      </c>
      <c r="F57" s="85" t="s">
        <v>66</v>
      </c>
      <c r="G57" s="79" t="s">
        <v>266</v>
      </c>
      <c r="H57" s="79" t="s">
        <v>267</v>
      </c>
      <c r="I57" s="81" t="s">
        <v>267</v>
      </c>
      <c r="J57" s="81"/>
      <c r="K57" s="131"/>
      <c r="L57" s="131"/>
      <c r="M57" s="131">
        <v>1</v>
      </c>
      <c r="N57" s="131"/>
      <c r="O57" s="131"/>
      <c r="P57" s="84" t="s">
        <v>66</v>
      </c>
      <c r="Q57" s="87"/>
      <c r="R57" s="86"/>
      <c r="S57" s="148"/>
      <c r="T57" s="82"/>
      <c r="U57" s="82"/>
      <c r="V57" s="82" t="s">
        <v>119</v>
      </c>
      <c r="W57" s="82" t="s">
        <v>269</v>
      </c>
      <c r="X57" s="82" t="s">
        <v>84</v>
      </c>
      <c r="Y57" s="82" t="s">
        <v>73</v>
      </c>
    </row>
    <row r="58" spans="1:25" hidden="1">
      <c r="A58" s="79" t="s">
        <v>61</v>
      </c>
      <c r="B58" s="79" t="s">
        <v>283</v>
      </c>
      <c r="C58" s="79" t="s">
        <v>284</v>
      </c>
      <c r="D58" s="80" t="s">
        <v>285</v>
      </c>
      <c r="E58" s="83" t="s">
        <v>65</v>
      </c>
      <c r="F58" s="85" t="s">
        <v>66</v>
      </c>
      <c r="G58" s="79" t="s">
        <v>266</v>
      </c>
      <c r="H58" s="79" t="s">
        <v>267</v>
      </c>
      <c r="I58" s="81" t="s">
        <v>267</v>
      </c>
      <c r="J58" s="81"/>
      <c r="K58" s="131"/>
      <c r="L58" s="131"/>
      <c r="M58" s="131">
        <v>1</v>
      </c>
      <c r="N58" s="131"/>
      <c r="O58" s="131"/>
      <c r="P58" s="84" t="s">
        <v>66</v>
      </c>
      <c r="Q58" s="87"/>
      <c r="R58" s="86"/>
      <c r="S58" s="148"/>
      <c r="T58" s="82"/>
      <c r="U58" s="82"/>
      <c r="V58" s="82" t="s">
        <v>119</v>
      </c>
      <c r="W58" s="82" t="s">
        <v>269</v>
      </c>
      <c r="X58" s="82" t="s">
        <v>72</v>
      </c>
      <c r="Y58" s="82" t="s">
        <v>80</v>
      </c>
    </row>
    <row r="59" spans="1:25" hidden="1">
      <c r="A59" s="79" t="s">
        <v>61</v>
      </c>
      <c r="B59" s="79" t="s">
        <v>270</v>
      </c>
      <c r="C59" s="79" t="s">
        <v>271</v>
      </c>
      <c r="D59" s="80" t="s">
        <v>272</v>
      </c>
      <c r="E59" s="83" t="s">
        <v>65</v>
      </c>
      <c r="F59" s="85" t="s">
        <v>66</v>
      </c>
      <c r="G59" s="79" t="s">
        <v>266</v>
      </c>
      <c r="H59" s="79" t="s">
        <v>273</v>
      </c>
      <c r="I59" s="81" t="s">
        <v>273</v>
      </c>
      <c r="J59" s="81"/>
      <c r="K59" s="131"/>
      <c r="L59" s="131"/>
      <c r="M59" s="131">
        <v>1.3</v>
      </c>
      <c r="N59" s="131"/>
      <c r="O59" s="131"/>
      <c r="P59" s="84" t="s">
        <v>66</v>
      </c>
      <c r="Q59" s="87"/>
      <c r="R59" s="86"/>
      <c r="S59" s="148"/>
      <c r="T59" s="82"/>
      <c r="U59" s="82"/>
      <c r="V59" s="82" t="s">
        <v>119</v>
      </c>
      <c r="W59" s="82" t="s">
        <v>269</v>
      </c>
      <c r="X59" s="82" t="s">
        <v>72</v>
      </c>
      <c r="Y59" s="82" t="s">
        <v>80</v>
      </c>
    </row>
    <row r="60" spans="1:25" hidden="1">
      <c r="A60" s="79" t="s">
        <v>61</v>
      </c>
      <c r="B60" s="79" t="s">
        <v>274</v>
      </c>
      <c r="C60" s="79" t="s">
        <v>275</v>
      </c>
      <c r="D60" s="80" t="s">
        <v>276</v>
      </c>
      <c r="E60" s="83" t="s">
        <v>65</v>
      </c>
      <c r="F60" s="85" t="s">
        <v>77</v>
      </c>
      <c r="G60" s="79" t="s">
        <v>266</v>
      </c>
      <c r="H60" s="79" t="s">
        <v>273</v>
      </c>
      <c r="I60" s="81" t="s">
        <v>273</v>
      </c>
      <c r="J60" s="81"/>
      <c r="K60" s="131"/>
      <c r="L60" s="131"/>
      <c r="M60" s="131">
        <v>1.4</v>
      </c>
      <c r="N60" s="131"/>
      <c r="O60" s="131"/>
      <c r="P60" s="84" t="s">
        <v>77</v>
      </c>
      <c r="Q60" s="87"/>
      <c r="R60" s="86"/>
      <c r="S60" s="148"/>
      <c r="T60" s="82"/>
      <c r="U60" s="82"/>
      <c r="V60" s="82" t="s">
        <v>119</v>
      </c>
      <c r="W60" s="82" t="s">
        <v>269</v>
      </c>
      <c r="X60" s="82" t="s">
        <v>84</v>
      </c>
      <c r="Y60" s="82" t="s">
        <v>73</v>
      </c>
    </row>
    <row r="61" spans="1:25" hidden="1">
      <c r="A61" s="79" t="s">
        <v>61</v>
      </c>
      <c r="B61" s="79" t="s">
        <v>277</v>
      </c>
      <c r="C61" s="79" t="s">
        <v>278</v>
      </c>
      <c r="D61" s="80" t="s">
        <v>279</v>
      </c>
      <c r="E61" s="83" t="s">
        <v>65</v>
      </c>
      <c r="F61" s="85" t="s">
        <v>77</v>
      </c>
      <c r="G61" s="79" t="s">
        <v>266</v>
      </c>
      <c r="H61" s="79" t="s">
        <v>273</v>
      </c>
      <c r="I61" s="81" t="s">
        <v>273</v>
      </c>
      <c r="J61" s="81"/>
      <c r="K61" s="131"/>
      <c r="L61" s="131"/>
      <c r="M61" s="131">
        <v>1.4</v>
      </c>
      <c r="N61" s="131"/>
      <c r="O61" s="131"/>
      <c r="P61" s="84" t="s">
        <v>77</v>
      </c>
      <c r="Q61" s="87"/>
      <c r="R61" s="86"/>
      <c r="S61" s="148"/>
      <c r="T61" s="82"/>
      <c r="U61" s="82"/>
      <c r="V61" s="82" t="s">
        <v>119</v>
      </c>
      <c r="W61" s="82" t="s">
        <v>269</v>
      </c>
      <c r="X61" s="82" t="s">
        <v>84</v>
      </c>
      <c r="Y61" s="82" t="s">
        <v>73</v>
      </c>
    </row>
    <row r="62" spans="1:25" hidden="1">
      <c r="A62" s="79" t="s">
        <v>61</v>
      </c>
      <c r="B62" s="79" t="s">
        <v>286</v>
      </c>
      <c r="C62" s="79" t="s">
        <v>287</v>
      </c>
      <c r="D62" s="80" t="s">
        <v>288</v>
      </c>
      <c r="E62" s="83" t="s">
        <v>65</v>
      </c>
      <c r="F62" s="85" t="s">
        <v>66</v>
      </c>
      <c r="G62" s="79" t="s">
        <v>266</v>
      </c>
      <c r="H62" s="79" t="s">
        <v>267</v>
      </c>
      <c r="I62" s="81" t="s">
        <v>267</v>
      </c>
      <c r="J62" s="81"/>
      <c r="K62" s="131"/>
      <c r="L62" s="131"/>
      <c r="M62" s="131">
        <v>1.4</v>
      </c>
      <c r="N62" s="131"/>
      <c r="O62" s="131"/>
      <c r="P62" s="84" t="s">
        <v>66</v>
      </c>
      <c r="Q62" s="87">
        <v>46080</v>
      </c>
      <c r="R62" s="86">
        <v>46081</v>
      </c>
      <c r="S62" s="148"/>
      <c r="T62" s="82"/>
      <c r="U62" s="82"/>
      <c r="V62" s="82" t="s">
        <v>119</v>
      </c>
      <c r="W62" s="82" t="s">
        <v>269</v>
      </c>
      <c r="X62" s="82" t="s">
        <v>84</v>
      </c>
      <c r="Y62" s="82" t="s">
        <v>73</v>
      </c>
    </row>
    <row r="63" spans="1:25" hidden="1">
      <c r="A63" s="79" t="s">
        <v>61</v>
      </c>
      <c r="B63" s="79" t="s">
        <v>289</v>
      </c>
      <c r="C63" s="79" t="s">
        <v>290</v>
      </c>
      <c r="D63" s="80" t="s">
        <v>291</v>
      </c>
      <c r="E63" s="83" t="s">
        <v>65</v>
      </c>
      <c r="F63" s="85" t="s">
        <v>66</v>
      </c>
      <c r="G63" s="79" t="s">
        <v>266</v>
      </c>
      <c r="H63" s="79" t="s">
        <v>267</v>
      </c>
      <c r="I63" s="81" t="s">
        <v>267</v>
      </c>
      <c r="J63" s="81"/>
      <c r="K63" s="131"/>
      <c r="L63" s="131"/>
      <c r="M63" s="131">
        <v>1.4</v>
      </c>
      <c r="N63" s="131"/>
      <c r="O63" s="131"/>
      <c r="P63" s="84" t="s">
        <v>66</v>
      </c>
      <c r="Q63" s="87"/>
      <c r="R63" s="86"/>
      <c r="S63" s="148"/>
      <c r="T63" s="82"/>
      <c r="U63" s="82"/>
      <c r="V63" s="82" t="s">
        <v>119</v>
      </c>
      <c r="W63" s="82" t="s">
        <v>180</v>
      </c>
      <c r="X63" s="82" t="s">
        <v>84</v>
      </c>
      <c r="Y63" s="82" t="s">
        <v>73</v>
      </c>
    </row>
    <row r="64" spans="1:25" hidden="1">
      <c r="A64" s="79" t="s">
        <v>61</v>
      </c>
      <c r="B64" s="79" t="s">
        <v>301</v>
      </c>
      <c r="C64" s="79" t="s">
        <v>302</v>
      </c>
      <c r="D64" s="80" t="s">
        <v>303</v>
      </c>
      <c r="E64" s="83" t="s">
        <v>65</v>
      </c>
      <c r="F64" s="85" t="s">
        <v>66</v>
      </c>
      <c r="G64" s="79" t="s">
        <v>266</v>
      </c>
      <c r="H64" s="79" t="s">
        <v>267</v>
      </c>
      <c r="I64" s="81" t="s">
        <v>267</v>
      </c>
      <c r="J64" s="81"/>
      <c r="K64" s="131"/>
      <c r="L64" s="131"/>
      <c r="M64" s="131">
        <v>1.4</v>
      </c>
      <c r="N64" s="131"/>
      <c r="O64" s="131"/>
      <c r="P64" s="84" t="s">
        <v>66</v>
      </c>
      <c r="Q64" s="87"/>
      <c r="R64" s="86"/>
      <c r="S64" s="148"/>
      <c r="T64" s="82"/>
      <c r="U64" s="82"/>
      <c r="V64" s="82" t="s">
        <v>119</v>
      </c>
      <c r="W64" s="82" t="s">
        <v>180</v>
      </c>
      <c r="X64" s="82" t="s">
        <v>72</v>
      </c>
      <c r="Y64" s="82" t="s">
        <v>80</v>
      </c>
    </row>
    <row r="65" spans="1:25" hidden="1">
      <c r="A65" s="79" t="s">
        <v>61</v>
      </c>
      <c r="B65" s="79" t="s">
        <v>292</v>
      </c>
      <c r="C65" s="79" t="s">
        <v>293</v>
      </c>
      <c r="D65" s="80" t="s">
        <v>294</v>
      </c>
      <c r="E65" s="83" t="s">
        <v>65</v>
      </c>
      <c r="F65" s="85" t="s">
        <v>66</v>
      </c>
      <c r="G65" s="79" t="s">
        <v>266</v>
      </c>
      <c r="H65" s="79" t="s">
        <v>267</v>
      </c>
      <c r="I65" s="81" t="s">
        <v>267</v>
      </c>
      <c r="J65" s="81"/>
      <c r="K65" s="131"/>
      <c r="L65" s="131"/>
      <c r="M65" s="131">
        <v>1.4</v>
      </c>
      <c r="N65" s="131"/>
      <c r="O65" s="131"/>
      <c r="P65" s="84" t="s">
        <v>66</v>
      </c>
      <c r="Q65" s="87"/>
      <c r="R65" s="86"/>
      <c r="S65" s="148"/>
      <c r="T65" s="82"/>
      <c r="U65" s="82"/>
      <c r="V65" s="82" t="s">
        <v>119</v>
      </c>
      <c r="W65" s="82" t="s">
        <v>133</v>
      </c>
      <c r="X65" s="82" t="s">
        <v>72</v>
      </c>
      <c r="Y65" s="82" t="s">
        <v>80</v>
      </c>
    </row>
    <row r="66" spans="1:25" hidden="1">
      <c r="A66" s="79" t="s">
        <v>61</v>
      </c>
      <c r="B66" s="79" t="s">
        <v>295</v>
      </c>
      <c r="C66" s="79" t="s">
        <v>296</v>
      </c>
      <c r="D66" s="80" t="s">
        <v>297</v>
      </c>
      <c r="E66" s="83" t="s">
        <v>65</v>
      </c>
      <c r="F66" s="85" t="s">
        <v>77</v>
      </c>
      <c r="G66" s="79" t="s">
        <v>266</v>
      </c>
      <c r="H66" s="79" t="s">
        <v>267</v>
      </c>
      <c r="I66" s="81" t="s">
        <v>267</v>
      </c>
      <c r="J66" s="81"/>
      <c r="K66" s="131"/>
      <c r="L66" s="131"/>
      <c r="M66" s="131">
        <v>1.4</v>
      </c>
      <c r="N66" s="131"/>
      <c r="O66" s="131"/>
      <c r="P66" s="84" t="s">
        <v>77</v>
      </c>
      <c r="Q66" s="87"/>
      <c r="R66" s="86"/>
      <c r="S66" s="148"/>
      <c r="T66" s="82"/>
      <c r="U66" s="82"/>
      <c r="V66" s="82" t="s">
        <v>119</v>
      </c>
      <c r="W66" s="82" t="s">
        <v>180</v>
      </c>
      <c r="X66" s="82" t="s">
        <v>72</v>
      </c>
      <c r="Y66" s="82" t="s">
        <v>73</v>
      </c>
    </row>
    <row r="67" spans="1:25" hidden="1">
      <c r="A67" s="79" t="s">
        <v>61</v>
      </c>
      <c r="B67" s="113" t="s">
        <v>727</v>
      </c>
      <c r="C67" s="79" t="s">
        <v>728</v>
      </c>
      <c r="D67" s="114" t="s">
        <v>729</v>
      </c>
      <c r="E67" s="83" t="s">
        <v>65</v>
      </c>
      <c r="F67" s="85" t="s">
        <v>77</v>
      </c>
      <c r="G67" s="79" t="s">
        <v>266</v>
      </c>
      <c r="H67" s="115" t="s">
        <v>267</v>
      </c>
      <c r="I67" s="116" t="s">
        <v>267</v>
      </c>
      <c r="J67" s="81"/>
      <c r="K67" s="131"/>
      <c r="L67" s="131"/>
      <c r="M67" s="131" t="e">
        <v>#N/A</v>
      </c>
      <c r="N67" s="131"/>
      <c r="O67" s="131"/>
      <c r="P67" s="84" t="s">
        <v>77</v>
      </c>
      <c r="Q67" s="87"/>
      <c r="R67" s="86"/>
      <c r="S67" s="148"/>
      <c r="T67" s="82"/>
      <c r="U67" s="82"/>
      <c r="V67" s="82" t="s">
        <v>119</v>
      </c>
      <c r="W67" s="82" t="s">
        <v>180</v>
      </c>
      <c r="X67" s="82" t="s">
        <v>72</v>
      </c>
      <c r="Y67" s="82" t="s">
        <v>80</v>
      </c>
    </row>
    <row r="68" spans="1:25" hidden="1">
      <c r="A68" s="79" t="s">
        <v>61</v>
      </c>
      <c r="B68" s="113" t="s">
        <v>324</v>
      </c>
      <c r="C68" s="156" t="s">
        <v>325</v>
      </c>
      <c r="D68" s="114" t="s">
        <v>326</v>
      </c>
      <c r="E68" s="83" t="s">
        <v>65</v>
      </c>
      <c r="F68" s="85" t="s">
        <v>77</v>
      </c>
      <c r="G68" s="115" t="s">
        <v>317</v>
      </c>
      <c r="H68" s="115" t="s">
        <v>143</v>
      </c>
      <c r="I68" s="116" t="s">
        <v>143</v>
      </c>
      <c r="J68" s="81"/>
      <c r="K68" s="131"/>
      <c r="L68" s="131"/>
      <c r="M68" s="131">
        <v>0.6</v>
      </c>
      <c r="N68" s="131"/>
      <c r="O68" s="131"/>
      <c r="P68" s="84" t="s">
        <v>77</v>
      </c>
      <c r="Q68" s="87"/>
      <c r="R68" s="86"/>
      <c r="S68" s="148"/>
      <c r="T68" s="82"/>
      <c r="U68" s="82"/>
      <c r="V68" s="82" t="s">
        <v>119</v>
      </c>
      <c r="W68" s="82" t="s">
        <v>124</v>
      </c>
      <c r="X68" s="82" t="s">
        <v>84</v>
      </c>
      <c r="Y68" s="82" t="s">
        <v>73</v>
      </c>
    </row>
    <row r="69" spans="1:25" hidden="1">
      <c r="A69" s="79" t="s">
        <v>61</v>
      </c>
      <c r="B69" s="113" t="s">
        <v>327</v>
      </c>
      <c r="C69" s="79" t="s">
        <v>328</v>
      </c>
      <c r="D69" s="114" t="s">
        <v>329</v>
      </c>
      <c r="E69" s="83" t="s">
        <v>65</v>
      </c>
      <c r="F69" s="85" t="s">
        <v>77</v>
      </c>
      <c r="G69" s="115" t="s">
        <v>317</v>
      </c>
      <c r="H69" s="115" t="s">
        <v>143</v>
      </c>
      <c r="I69" s="116" t="s">
        <v>143</v>
      </c>
      <c r="J69" s="81"/>
      <c r="K69" s="131"/>
      <c r="L69" s="131"/>
      <c r="M69" s="131">
        <v>0.6</v>
      </c>
      <c r="N69" s="131"/>
      <c r="O69" s="131"/>
      <c r="P69" s="84" t="s">
        <v>77</v>
      </c>
      <c r="Q69" s="87"/>
      <c r="R69" s="86"/>
      <c r="S69" s="148"/>
      <c r="T69" s="82"/>
      <c r="U69" s="82"/>
      <c r="V69" s="82" t="s">
        <v>119</v>
      </c>
      <c r="W69" s="82" t="s">
        <v>124</v>
      </c>
      <c r="X69" s="82" t="s">
        <v>72</v>
      </c>
      <c r="Y69" s="82" t="s">
        <v>80</v>
      </c>
    </row>
    <row r="70" spans="1:25" hidden="1">
      <c r="A70" s="79" t="s">
        <v>61</v>
      </c>
      <c r="B70" s="113" t="s">
        <v>351</v>
      </c>
      <c r="C70" s="79" t="s">
        <v>352</v>
      </c>
      <c r="D70" s="114" t="s">
        <v>353</v>
      </c>
      <c r="E70" s="83" t="s">
        <v>65</v>
      </c>
      <c r="F70" s="85" t="s">
        <v>77</v>
      </c>
      <c r="G70" s="115" t="s">
        <v>317</v>
      </c>
      <c r="H70" s="115" t="s">
        <v>336</v>
      </c>
      <c r="I70" s="116" t="s">
        <v>336</v>
      </c>
      <c r="J70" s="81"/>
      <c r="K70" s="131"/>
      <c r="L70" s="131"/>
      <c r="M70" s="131">
        <v>0.6</v>
      </c>
      <c r="N70" s="131"/>
      <c r="O70" s="131"/>
      <c r="P70" s="84" t="s">
        <v>77</v>
      </c>
      <c r="Q70" s="87"/>
      <c r="R70" s="86"/>
      <c r="S70" s="148"/>
      <c r="T70" s="82"/>
      <c r="U70" s="82"/>
      <c r="V70" s="82" t="s">
        <v>119</v>
      </c>
      <c r="W70" s="82" t="s">
        <v>124</v>
      </c>
      <c r="X70" s="82" t="s">
        <v>72</v>
      </c>
      <c r="Y70" s="82" t="s">
        <v>80</v>
      </c>
    </row>
    <row r="71" spans="1:25" hidden="1">
      <c r="A71" s="79" t="s">
        <v>61</v>
      </c>
      <c r="B71" s="79" t="s">
        <v>318</v>
      </c>
      <c r="C71" s="79" t="s">
        <v>319</v>
      </c>
      <c r="D71" s="80" t="s">
        <v>320</v>
      </c>
      <c r="E71" s="83" t="s">
        <v>65</v>
      </c>
      <c r="F71" s="85" t="s">
        <v>77</v>
      </c>
      <c r="G71" s="79" t="s">
        <v>317</v>
      </c>
      <c r="H71" s="79" t="s">
        <v>143</v>
      </c>
      <c r="I71" s="81" t="s">
        <v>143</v>
      </c>
      <c r="J71" s="81"/>
      <c r="K71" s="131"/>
      <c r="L71" s="131"/>
      <c r="M71" s="131">
        <v>1</v>
      </c>
      <c r="N71" s="131"/>
      <c r="O71" s="131"/>
      <c r="P71" s="84" t="s">
        <v>77</v>
      </c>
      <c r="Q71" s="87"/>
      <c r="R71" s="86"/>
      <c r="S71" s="148"/>
      <c r="T71" s="82"/>
      <c r="U71" s="82"/>
      <c r="V71" s="82" t="s">
        <v>119</v>
      </c>
      <c r="W71" s="82" t="s">
        <v>124</v>
      </c>
      <c r="X71" s="82" t="s">
        <v>72</v>
      </c>
      <c r="Y71" s="82" t="s">
        <v>80</v>
      </c>
    </row>
    <row r="72" spans="1:25" hidden="1">
      <c r="A72" s="79" t="s">
        <v>61</v>
      </c>
      <c r="B72" s="79" t="s">
        <v>314</v>
      </c>
      <c r="C72" s="79" t="s">
        <v>315</v>
      </c>
      <c r="D72" s="80" t="s">
        <v>316</v>
      </c>
      <c r="E72" s="83" t="s">
        <v>65</v>
      </c>
      <c r="F72" s="85" t="s">
        <v>66</v>
      </c>
      <c r="G72" s="79" t="s">
        <v>317</v>
      </c>
      <c r="H72" s="79" t="s">
        <v>143</v>
      </c>
      <c r="I72" s="81" t="s">
        <v>143</v>
      </c>
      <c r="J72" s="81"/>
      <c r="K72" s="131"/>
      <c r="L72" s="131"/>
      <c r="M72" s="131">
        <v>1</v>
      </c>
      <c r="N72" s="131"/>
      <c r="O72" s="131"/>
      <c r="P72" s="84" t="s">
        <v>66</v>
      </c>
      <c r="Q72" s="87"/>
      <c r="R72" s="86"/>
      <c r="S72" s="148"/>
      <c r="T72" s="82"/>
      <c r="U72" s="82"/>
      <c r="V72" s="82" t="s">
        <v>119</v>
      </c>
      <c r="W72" s="82" t="s">
        <v>124</v>
      </c>
      <c r="X72" s="82" t="s">
        <v>72</v>
      </c>
      <c r="Y72" s="82" t="s">
        <v>80</v>
      </c>
    </row>
    <row r="73" spans="1:25" hidden="1">
      <c r="A73" s="79" t="s">
        <v>61</v>
      </c>
      <c r="B73" s="79" t="s">
        <v>722</v>
      </c>
      <c r="C73" s="79" t="s">
        <v>722</v>
      </c>
      <c r="D73" s="80" t="s">
        <v>723</v>
      </c>
      <c r="E73" s="83" t="s">
        <v>65</v>
      </c>
      <c r="F73" s="85" t="s">
        <v>77</v>
      </c>
      <c r="G73" s="79" t="s">
        <v>317</v>
      </c>
      <c r="H73" s="79" t="s">
        <v>143</v>
      </c>
      <c r="I73" s="81" t="s">
        <v>143</v>
      </c>
      <c r="J73" s="81"/>
      <c r="K73" s="131"/>
      <c r="L73" s="131"/>
      <c r="M73" s="131">
        <v>1</v>
      </c>
      <c r="N73" s="131"/>
      <c r="O73" s="131"/>
      <c r="P73" s="84" t="s">
        <v>77</v>
      </c>
      <c r="Q73" s="87"/>
      <c r="R73" s="86"/>
      <c r="S73" s="148"/>
      <c r="T73" s="82"/>
      <c r="U73" s="82"/>
      <c r="V73" s="82" t="s">
        <v>119</v>
      </c>
      <c r="W73" s="82" t="s">
        <v>124</v>
      </c>
      <c r="X73" s="82" t="s">
        <v>72</v>
      </c>
      <c r="Y73" s="82" t="s">
        <v>80</v>
      </c>
    </row>
    <row r="74" spans="1:25" hidden="1">
      <c r="A74" s="79" t="s">
        <v>61</v>
      </c>
      <c r="B74" s="79" t="s">
        <v>321</v>
      </c>
      <c r="C74" s="79" t="s">
        <v>322</v>
      </c>
      <c r="D74" s="80" t="s">
        <v>323</v>
      </c>
      <c r="E74" s="83" t="s">
        <v>65</v>
      </c>
      <c r="F74" s="85" t="s">
        <v>66</v>
      </c>
      <c r="G74" s="79" t="s">
        <v>317</v>
      </c>
      <c r="H74" s="79" t="s">
        <v>143</v>
      </c>
      <c r="I74" s="81" t="s">
        <v>143</v>
      </c>
      <c r="J74" s="81"/>
      <c r="K74" s="131"/>
      <c r="L74" s="131"/>
      <c r="M74" s="131">
        <v>1</v>
      </c>
      <c r="N74" s="131"/>
      <c r="O74" s="131"/>
      <c r="P74" s="84" t="s">
        <v>66</v>
      </c>
      <c r="Q74" s="87"/>
      <c r="R74" s="86"/>
      <c r="S74" s="148"/>
      <c r="T74" s="82"/>
      <c r="U74" s="82"/>
      <c r="V74" s="82" t="s">
        <v>119</v>
      </c>
      <c r="W74" s="82" t="s">
        <v>124</v>
      </c>
      <c r="X74" s="82" t="s">
        <v>72</v>
      </c>
      <c r="Y74" s="82" t="s">
        <v>80</v>
      </c>
    </row>
    <row r="75" spans="1:25" hidden="1">
      <c r="A75" s="79" t="s">
        <v>61</v>
      </c>
      <c r="B75" s="79" t="s">
        <v>333</v>
      </c>
      <c r="C75" s="79" t="s">
        <v>334</v>
      </c>
      <c r="D75" s="80" t="s">
        <v>335</v>
      </c>
      <c r="E75" s="83" t="s">
        <v>65</v>
      </c>
      <c r="F75" s="85" t="s">
        <v>66</v>
      </c>
      <c r="G75" s="79" t="s">
        <v>317</v>
      </c>
      <c r="H75" s="79" t="s">
        <v>336</v>
      </c>
      <c r="I75" s="81" t="s">
        <v>143</v>
      </c>
      <c r="J75" s="81"/>
      <c r="K75" s="131"/>
      <c r="L75" s="131"/>
      <c r="M75" s="131">
        <v>1</v>
      </c>
      <c r="N75" s="131"/>
      <c r="O75" s="131"/>
      <c r="P75" s="84" t="s">
        <v>66</v>
      </c>
      <c r="Q75" s="87"/>
      <c r="R75" s="86"/>
      <c r="S75" s="148"/>
      <c r="T75" s="82"/>
      <c r="U75" s="82"/>
      <c r="V75" s="82" t="s">
        <v>119</v>
      </c>
      <c r="W75" s="82" t="s">
        <v>124</v>
      </c>
      <c r="X75" s="82" t="s">
        <v>72</v>
      </c>
      <c r="Y75" s="82" t="s">
        <v>80</v>
      </c>
    </row>
    <row r="76" spans="1:25" hidden="1">
      <c r="A76" s="79" t="s">
        <v>61</v>
      </c>
      <c r="B76" s="79" t="s">
        <v>345</v>
      </c>
      <c r="C76" s="79" t="s">
        <v>346</v>
      </c>
      <c r="D76" s="80" t="s">
        <v>347</v>
      </c>
      <c r="E76" s="83" t="s">
        <v>65</v>
      </c>
      <c r="F76" s="85" t="s">
        <v>66</v>
      </c>
      <c r="G76" s="79" t="s">
        <v>317</v>
      </c>
      <c r="H76" s="79" t="s">
        <v>336</v>
      </c>
      <c r="I76" s="81" t="s">
        <v>336</v>
      </c>
      <c r="J76" s="81"/>
      <c r="K76" s="131"/>
      <c r="L76" s="131"/>
      <c r="M76" s="131">
        <v>1</v>
      </c>
      <c r="N76" s="131"/>
      <c r="O76" s="131"/>
      <c r="P76" s="84" t="s">
        <v>66</v>
      </c>
      <c r="Q76" s="87"/>
      <c r="R76" s="86"/>
      <c r="S76" s="148"/>
      <c r="T76" s="82"/>
      <c r="U76" s="82"/>
      <c r="V76" s="82" t="s">
        <v>119</v>
      </c>
      <c r="W76" s="82" t="s">
        <v>124</v>
      </c>
      <c r="X76" s="82" t="s">
        <v>72</v>
      </c>
      <c r="Y76" s="82" t="s">
        <v>80</v>
      </c>
    </row>
    <row r="77" spans="1:25" hidden="1">
      <c r="A77" s="79" t="s">
        <v>61</v>
      </c>
      <c r="B77" s="113" t="s">
        <v>337</v>
      </c>
      <c r="C77" s="79" t="s">
        <v>337</v>
      </c>
      <c r="D77" s="114" t="s">
        <v>338</v>
      </c>
      <c r="E77" s="83" t="s">
        <v>65</v>
      </c>
      <c r="F77" s="85" t="s">
        <v>77</v>
      </c>
      <c r="G77" s="79" t="s">
        <v>317</v>
      </c>
      <c r="H77" s="115" t="s">
        <v>336</v>
      </c>
      <c r="I77" s="116" t="s">
        <v>336</v>
      </c>
      <c r="J77" s="81"/>
      <c r="K77" s="130"/>
      <c r="L77" s="130"/>
      <c r="M77" s="131">
        <v>1</v>
      </c>
      <c r="N77" s="130"/>
      <c r="O77" s="130"/>
      <c r="P77" s="84" t="s">
        <v>77</v>
      </c>
      <c r="Q77" s="87"/>
      <c r="R77" s="86"/>
      <c r="S77" s="148"/>
      <c r="T77" s="82"/>
      <c r="U77" s="82"/>
      <c r="V77" s="82" t="s">
        <v>119</v>
      </c>
      <c r="W77" s="82" t="s">
        <v>124</v>
      </c>
      <c r="X77" s="82" t="s">
        <v>84</v>
      </c>
      <c r="Y77" s="82" t="s">
        <v>73</v>
      </c>
    </row>
    <row r="78" spans="1:25" hidden="1">
      <c r="A78" s="79" t="s">
        <v>61</v>
      </c>
      <c r="B78" s="79" t="s">
        <v>357</v>
      </c>
      <c r="C78" s="79" t="s">
        <v>358</v>
      </c>
      <c r="D78" s="80" t="s">
        <v>359</v>
      </c>
      <c r="E78" s="83" t="s">
        <v>65</v>
      </c>
      <c r="F78" s="85" t="s">
        <v>66</v>
      </c>
      <c r="G78" s="79" t="s">
        <v>317</v>
      </c>
      <c r="H78" s="79" t="s">
        <v>336</v>
      </c>
      <c r="I78" s="81" t="s">
        <v>143</v>
      </c>
      <c r="J78" s="81"/>
      <c r="K78" s="131"/>
      <c r="L78" s="131"/>
      <c r="M78" s="131">
        <v>1</v>
      </c>
      <c r="N78" s="131"/>
      <c r="O78" s="131"/>
      <c r="P78" s="84" t="s">
        <v>66</v>
      </c>
      <c r="Q78" s="87"/>
      <c r="R78" s="86"/>
      <c r="S78" s="148"/>
      <c r="T78" s="82"/>
      <c r="U78" s="82"/>
      <c r="V78" s="82" t="s">
        <v>119</v>
      </c>
      <c r="W78" s="82" t="s">
        <v>124</v>
      </c>
      <c r="X78" s="82" t="s">
        <v>84</v>
      </c>
      <c r="Y78" s="82" t="s">
        <v>73</v>
      </c>
    </row>
    <row r="79" spans="1:25" hidden="1">
      <c r="A79" s="79" t="s">
        <v>61</v>
      </c>
      <c r="B79" s="79" t="s">
        <v>354</v>
      </c>
      <c r="C79" s="79" t="s">
        <v>355</v>
      </c>
      <c r="D79" s="80" t="s">
        <v>356</v>
      </c>
      <c r="E79" s="83" t="s">
        <v>65</v>
      </c>
      <c r="F79" s="85" t="s">
        <v>66</v>
      </c>
      <c r="G79" s="79" t="s">
        <v>317</v>
      </c>
      <c r="H79" s="79" t="s">
        <v>336</v>
      </c>
      <c r="I79" s="81" t="s">
        <v>143</v>
      </c>
      <c r="J79" s="81"/>
      <c r="K79" s="131"/>
      <c r="L79" s="131"/>
      <c r="M79" s="131">
        <v>1</v>
      </c>
      <c r="N79" s="131"/>
      <c r="O79" s="131"/>
      <c r="P79" s="84" t="s">
        <v>66</v>
      </c>
      <c r="Q79" s="87"/>
      <c r="R79" s="86"/>
      <c r="S79" s="148"/>
      <c r="T79" s="82"/>
      <c r="U79" s="82"/>
      <c r="V79" s="82" t="s">
        <v>119</v>
      </c>
      <c r="W79" s="82" t="s">
        <v>120</v>
      </c>
      <c r="X79" s="82" t="s">
        <v>72</v>
      </c>
      <c r="Y79" s="82" t="s">
        <v>80</v>
      </c>
    </row>
    <row r="80" spans="1:25" hidden="1">
      <c r="A80" s="79" t="s">
        <v>61</v>
      </c>
      <c r="B80" s="79" t="s">
        <v>339</v>
      </c>
      <c r="C80" s="79" t="s">
        <v>340</v>
      </c>
      <c r="D80" s="80" t="s">
        <v>341</v>
      </c>
      <c r="E80" s="83" t="s">
        <v>65</v>
      </c>
      <c r="F80" s="85" t="s">
        <v>66</v>
      </c>
      <c r="G80" s="79" t="s">
        <v>317</v>
      </c>
      <c r="H80" s="79" t="s">
        <v>336</v>
      </c>
      <c r="I80" s="81" t="s">
        <v>336</v>
      </c>
      <c r="J80" s="81"/>
      <c r="K80" s="131"/>
      <c r="L80" s="131"/>
      <c r="M80" s="131">
        <v>1</v>
      </c>
      <c r="N80" s="131"/>
      <c r="O80" s="131"/>
      <c r="P80" s="84" t="s">
        <v>66</v>
      </c>
      <c r="Q80" s="87" t="s">
        <v>877</v>
      </c>
      <c r="R80" s="86"/>
      <c r="S80" s="148"/>
      <c r="T80" s="82"/>
      <c r="U80" s="82"/>
      <c r="V80" s="82" t="s">
        <v>119</v>
      </c>
      <c r="W80" s="82" t="s">
        <v>124</v>
      </c>
      <c r="X80" s="82" t="s">
        <v>72</v>
      </c>
      <c r="Y80" s="82" t="s">
        <v>80</v>
      </c>
    </row>
    <row r="81" spans="1:25" hidden="1">
      <c r="A81" s="79" t="s">
        <v>61</v>
      </c>
      <c r="B81" s="79" t="s">
        <v>342</v>
      </c>
      <c r="C81" s="79" t="s">
        <v>343</v>
      </c>
      <c r="D81" s="80" t="s">
        <v>344</v>
      </c>
      <c r="E81" s="83" t="s">
        <v>65</v>
      </c>
      <c r="F81" s="85" t="s">
        <v>66</v>
      </c>
      <c r="G81" s="79" t="s">
        <v>317</v>
      </c>
      <c r="H81" s="79" t="s">
        <v>336</v>
      </c>
      <c r="I81" s="81" t="s">
        <v>336</v>
      </c>
      <c r="J81" s="81"/>
      <c r="K81" s="131"/>
      <c r="L81" s="131"/>
      <c r="M81" s="131">
        <v>1</v>
      </c>
      <c r="N81" s="131"/>
      <c r="O81" s="131"/>
      <c r="P81" s="84" t="s">
        <v>66</v>
      </c>
      <c r="Q81" s="87"/>
      <c r="R81" s="86"/>
      <c r="S81" s="148"/>
      <c r="T81" s="82"/>
      <c r="U81" s="82"/>
      <c r="V81" s="82" t="s">
        <v>119</v>
      </c>
      <c r="W81" s="82" t="s">
        <v>124</v>
      </c>
      <c r="X81" s="82" t="s">
        <v>84</v>
      </c>
      <c r="Y81" s="82" t="s">
        <v>73</v>
      </c>
    </row>
    <row r="82" spans="1:25" hidden="1">
      <c r="A82" s="79" t="s">
        <v>61</v>
      </c>
      <c r="B82" s="79" t="s">
        <v>742</v>
      </c>
      <c r="C82" s="79" t="s">
        <v>743</v>
      </c>
      <c r="D82" s="80" t="s">
        <v>744</v>
      </c>
      <c r="E82" s="83" t="s">
        <v>65</v>
      </c>
      <c r="F82" s="85" t="s">
        <v>66</v>
      </c>
      <c r="G82" s="79" t="s">
        <v>317</v>
      </c>
      <c r="H82" s="79" t="s">
        <v>336</v>
      </c>
      <c r="I82" s="81" t="s">
        <v>336</v>
      </c>
      <c r="J82" s="81"/>
      <c r="K82" s="131"/>
      <c r="L82" s="131"/>
      <c r="M82" s="131">
        <v>1</v>
      </c>
      <c r="N82" s="131"/>
      <c r="O82" s="131"/>
      <c r="P82" s="84" t="s">
        <v>66</v>
      </c>
      <c r="Q82" s="87">
        <v>46073</v>
      </c>
      <c r="R82" s="86">
        <v>46074</v>
      </c>
      <c r="S82" s="148"/>
      <c r="T82" s="82"/>
      <c r="U82" s="82"/>
      <c r="V82" s="82" t="s">
        <v>119</v>
      </c>
      <c r="W82" s="82" t="s">
        <v>124</v>
      </c>
      <c r="X82" s="82" t="s">
        <v>72</v>
      </c>
      <c r="Y82" s="82" t="s">
        <v>80</v>
      </c>
    </row>
    <row r="83" spans="1:25" hidden="1">
      <c r="A83" s="79" t="s">
        <v>61</v>
      </c>
      <c r="B83" s="79" t="s">
        <v>719</v>
      </c>
      <c r="C83" s="79" t="s">
        <v>720</v>
      </c>
      <c r="D83" s="80" t="s">
        <v>721</v>
      </c>
      <c r="E83" s="83" t="s">
        <v>65</v>
      </c>
      <c r="F83" s="85" t="s">
        <v>77</v>
      </c>
      <c r="G83" s="79" t="s">
        <v>317</v>
      </c>
      <c r="H83" s="79" t="s">
        <v>336</v>
      </c>
      <c r="I83" s="81" t="s">
        <v>336</v>
      </c>
      <c r="J83" s="81"/>
      <c r="K83" s="131"/>
      <c r="L83" s="131"/>
      <c r="M83" s="131">
        <v>1</v>
      </c>
      <c r="N83" s="131"/>
      <c r="O83" s="131"/>
      <c r="P83" s="84" t="s">
        <v>77</v>
      </c>
      <c r="Q83" s="87"/>
      <c r="R83" s="86"/>
      <c r="S83" s="148"/>
      <c r="T83" s="82"/>
      <c r="U83" s="82"/>
      <c r="V83" s="82" t="s">
        <v>119</v>
      </c>
      <c r="W83" s="82" t="s">
        <v>124</v>
      </c>
      <c r="X83" s="82" t="s">
        <v>84</v>
      </c>
      <c r="Y83" s="82" t="s">
        <v>73</v>
      </c>
    </row>
    <row r="84" spans="1:25" hidden="1">
      <c r="A84" s="79" t="s">
        <v>61</v>
      </c>
      <c r="B84" s="79" t="s">
        <v>348</v>
      </c>
      <c r="C84" s="79" t="s">
        <v>349</v>
      </c>
      <c r="D84" s="80" t="s">
        <v>350</v>
      </c>
      <c r="E84" s="83" t="s">
        <v>65</v>
      </c>
      <c r="F84" s="85" t="s">
        <v>66</v>
      </c>
      <c r="G84" s="79" t="s">
        <v>317</v>
      </c>
      <c r="H84" s="79" t="s">
        <v>336</v>
      </c>
      <c r="I84" s="81" t="s">
        <v>143</v>
      </c>
      <c r="J84" s="81"/>
      <c r="K84" s="131"/>
      <c r="L84" s="131"/>
      <c r="M84" s="131" t="e">
        <v>#N/A</v>
      </c>
      <c r="N84" s="131"/>
      <c r="O84" s="131"/>
      <c r="P84" s="84" t="s">
        <v>66</v>
      </c>
      <c r="Q84" s="87"/>
      <c r="R84" s="86"/>
      <c r="S84" s="148"/>
      <c r="T84" s="82"/>
      <c r="U84" s="82"/>
      <c r="V84" s="82" t="s">
        <v>119</v>
      </c>
      <c r="W84" s="82" t="s">
        <v>124</v>
      </c>
      <c r="X84" s="82" t="s">
        <v>84</v>
      </c>
      <c r="Y84" s="82" t="s">
        <v>73</v>
      </c>
    </row>
    <row r="85" spans="1:25" hidden="1">
      <c r="A85" s="79" t="s">
        <v>61</v>
      </c>
      <c r="B85" s="79">
        <v>7</v>
      </c>
      <c r="C85" s="79">
        <v>3</v>
      </c>
      <c r="D85" s="114" t="s">
        <v>332</v>
      </c>
      <c r="E85" s="83" t="s">
        <v>65</v>
      </c>
      <c r="F85" s="179" t="s">
        <v>77</v>
      </c>
      <c r="G85" s="200" t="s">
        <v>317</v>
      </c>
      <c r="H85" s="200" t="s">
        <v>143</v>
      </c>
      <c r="I85" s="116" t="s">
        <v>143</v>
      </c>
      <c r="J85" s="102" t="s">
        <v>12</v>
      </c>
      <c r="K85" s="131"/>
      <c r="L85" s="131"/>
      <c r="M85" s="131" t="e">
        <v>#N/A</v>
      </c>
      <c r="N85" s="131"/>
      <c r="O85" s="131"/>
      <c r="P85" s="84" t="s">
        <v>77</v>
      </c>
      <c r="Q85" s="87"/>
      <c r="R85" s="86"/>
      <c r="S85" s="148"/>
      <c r="T85" s="82"/>
      <c r="U85" s="82"/>
      <c r="V85" s="82" t="s">
        <v>119</v>
      </c>
      <c r="W85" s="82" t="s">
        <v>124</v>
      </c>
      <c r="X85" s="82" t="s">
        <v>72</v>
      </c>
      <c r="Y85" s="82" t="s">
        <v>80</v>
      </c>
    </row>
    <row r="86" spans="1:25">
      <c r="A86" s="79" t="s">
        <v>61</v>
      </c>
      <c r="B86" s="79">
        <v>9</v>
      </c>
      <c r="C86" s="113" t="s">
        <v>379</v>
      </c>
      <c r="D86" s="114" t="s">
        <v>380</v>
      </c>
      <c r="E86" s="83" t="s">
        <v>65</v>
      </c>
      <c r="F86" s="179" t="s">
        <v>77</v>
      </c>
      <c r="G86" s="79" t="s">
        <v>363</v>
      </c>
      <c r="H86" s="79" t="s">
        <v>368</v>
      </c>
      <c r="I86" s="116" t="s">
        <v>368</v>
      </c>
      <c r="J86" s="102" t="s">
        <v>12</v>
      </c>
      <c r="K86" s="131"/>
      <c r="L86" s="131"/>
      <c r="M86" s="131">
        <v>0.6</v>
      </c>
      <c r="N86" s="131">
        <v>0.6</v>
      </c>
      <c r="O86" s="131" t="s">
        <v>865</v>
      </c>
      <c r="P86" s="84" t="s">
        <v>77</v>
      </c>
      <c r="Q86" s="87"/>
      <c r="R86" s="86"/>
      <c r="S86" s="148"/>
      <c r="T86" s="82"/>
      <c r="U86" s="82"/>
      <c r="V86" s="82" t="s">
        <v>70</v>
      </c>
      <c r="W86" s="82" t="s">
        <v>369</v>
      </c>
      <c r="X86" s="82" t="s">
        <v>84</v>
      </c>
      <c r="Y86" s="82" t="s">
        <v>73</v>
      </c>
    </row>
    <row r="87" spans="1:25">
      <c r="A87" s="79" t="s">
        <v>61</v>
      </c>
      <c r="B87" s="79" t="s">
        <v>404</v>
      </c>
      <c r="C87" s="79" t="s">
        <v>842</v>
      </c>
      <c r="D87" s="80" t="s">
        <v>405</v>
      </c>
      <c r="E87" s="178" t="s">
        <v>406</v>
      </c>
      <c r="F87" s="179" t="s">
        <v>77</v>
      </c>
      <c r="G87" s="79" t="s">
        <v>363</v>
      </c>
      <c r="H87" s="115" t="s">
        <v>364</v>
      </c>
      <c r="I87" s="81" t="s">
        <v>364</v>
      </c>
      <c r="J87" s="102" t="s">
        <v>17</v>
      </c>
      <c r="K87" s="131" t="s">
        <v>17</v>
      </c>
      <c r="L87" s="131" t="s">
        <v>193</v>
      </c>
      <c r="M87" s="131">
        <v>0.6</v>
      </c>
      <c r="N87" s="131">
        <v>0.6</v>
      </c>
      <c r="O87" s="131" t="s">
        <v>878</v>
      </c>
      <c r="P87" s="84" t="s">
        <v>77</v>
      </c>
      <c r="Q87" s="87"/>
      <c r="R87" s="86"/>
      <c r="S87" s="148" t="s">
        <v>407</v>
      </c>
      <c r="T87" s="82"/>
      <c r="U87" s="82"/>
      <c r="V87" s="82" t="s">
        <v>70</v>
      </c>
      <c r="W87" s="82" t="s">
        <v>79</v>
      </c>
      <c r="X87" s="82" t="s">
        <v>72</v>
      </c>
      <c r="Y87" s="82" t="s">
        <v>80</v>
      </c>
    </row>
    <row r="88" spans="1:25">
      <c r="A88" s="79" t="s">
        <v>61</v>
      </c>
      <c r="B88" s="79" t="s">
        <v>365</v>
      </c>
      <c r="C88" s="79" t="s">
        <v>366</v>
      </c>
      <c r="D88" s="80" t="s">
        <v>367</v>
      </c>
      <c r="E88" s="83" t="s">
        <v>65</v>
      </c>
      <c r="F88" s="85" t="s">
        <v>77</v>
      </c>
      <c r="G88" s="79" t="s">
        <v>363</v>
      </c>
      <c r="H88" s="79" t="s">
        <v>368</v>
      </c>
      <c r="I88" s="81" t="s">
        <v>368</v>
      </c>
      <c r="J88" s="81"/>
      <c r="K88" s="131"/>
      <c r="L88" s="131"/>
      <c r="M88" s="131">
        <v>1</v>
      </c>
      <c r="N88" s="131">
        <v>1</v>
      </c>
      <c r="O88" s="131" t="s">
        <v>879</v>
      </c>
      <c r="P88" s="84" t="s">
        <v>77</v>
      </c>
      <c r="Q88" s="87"/>
      <c r="R88" s="86"/>
      <c r="S88" s="148"/>
      <c r="T88" s="82"/>
      <c r="U88" s="82"/>
      <c r="V88" s="82" t="s">
        <v>70</v>
      </c>
      <c r="W88" s="82" t="s">
        <v>369</v>
      </c>
      <c r="X88" s="82" t="s">
        <v>84</v>
      </c>
      <c r="Y88" s="82" t="s">
        <v>73</v>
      </c>
    </row>
    <row r="89" spans="1:25">
      <c r="A89" s="79" t="s">
        <v>61</v>
      </c>
      <c r="B89" s="79" t="s">
        <v>373</v>
      </c>
      <c r="C89" s="79" t="s">
        <v>374</v>
      </c>
      <c r="D89" s="80" t="s">
        <v>375</v>
      </c>
      <c r="E89" s="83" t="s">
        <v>65</v>
      </c>
      <c r="F89" s="85" t="s">
        <v>66</v>
      </c>
      <c r="G89" s="79" t="s">
        <v>363</v>
      </c>
      <c r="H89" s="79" t="s">
        <v>368</v>
      </c>
      <c r="I89" s="81" t="s">
        <v>368</v>
      </c>
      <c r="J89" s="81"/>
      <c r="K89" s="131"/>
      <c r="L89" s="131"/>
      <c r="M89" s="131">
        <v>1</v>
      </c>
      <c r="N89" s="131">
        <v>1.2</v>
      </c>
      <c r="O89" s="131" t="s">
        <v>865</v>
      </c>
      <c r="P89" s="84" t="s">
        <v>66</v>
      </c>
      <c r="Q89" s="87">
        <v>46073</v>
      </c>
      <c r="R89" s="86">
        <v>46074</v>
      </c>
      <c r="S89" s="148"/>
      <c r="T89" s="82"/>
      <c r="U89" s="82"/>
      <c r="V89" s="82" t="s">
        <v>70</v>
      </c>
      <c r="W89" s="82" t="s">
        <v>369</v>
      </c>
      <c r="X89" s="82" t="s">
        <v>72</v>
      </c>
      <c r="Y89" s="82" t="s">
        <v>80</v>
      </c>
    </row>
    <row r="90" spans="1:25">
      <c r="A90" s="79" t="s">
        <v>61</v>
      </c>
      <c r="B90" s="79" t="s">
        <v>408</v>
      </c>
      <c r="C90" s="79" t="s">
        <v>409</v>
      </c>
      <c r="D90" s="80" t="s">
        <v>410</v>
      </c>
      <c r="E90" s="83" t="s">
        <v>65</v>
      </c>
      <c r="F90" s="85" t="s">
        <v>66</v>
      </c>
      <c r="G90" s="79" t="s">
        <v>363</v>
      </c>
      <c r="H90" s="79" t="s">
        <v>368</v>
      </c>
      <c r="I90" s="81" t="s">
        <v>368</v>
      </c>
      <c r="J90" s="102" t="s">
        <v>1</v>
      </c>
      <c r="K90" s="131"/>
      <c r="L90" s="131"/>
      <c r="M90" s="131">
        <v>1</v>
      </c>
      <c r="N90" s="131">
        <v>1.2</v>
      </c>
      <c r="O90" s="131" t="s">
        <v>865</v>
      </c>
      <c r="P90" s="84" t="s">
        <v>66</v>
      </c>
      <c r="Q90" s="87">
        <v>46082</v>
      </c>
      <c r="R90" s="86">
        <v>46083</v>
      </c>
      <c r="S90" s="148" t="s">
        <v>880</v>
      </c>
      <c r="T90" s="82"/>
      <c r="U90" s="82"/>
      <c r="V90" s="82" t="s">
        <v>70</v>
      </c>
      <c r="W90" s="82" t="s">
        <v>369</v>
      </c>
      <c r="X90" s="82" t="s">
        <v>72</v>
      </c>
      <c r="Y90" s="82" t="s">
        <v>80</v>
      </c>
    </row>
    <row r="91" spans="1:25">
      <c r="A91" s="79" t="s">
        <v>61</v>
      </c>
      <c r="B91" s="79" t="s">
        <v>370</v>
      </c>
      <c r="C91" s="79" t="s">
        <v>371</v>
      </c>
      <c r="D91" s="80" t="s">
        <v>372</v>
      </c>
      <c r="E91" s="83" t="s">
        <v>65</v>
      </c>
      <c r="F91" s="85" t="s">
        <v>77</v>
      </c>
      <c r="G91" s="79" t="s">
        <v>363</v>
      </c>
      <c r="H91" s="79" t="s">
        <v>368</v>
      </c>
      <c r="I91" s="81" t="s">
        <v>368</v>
      </c>
      <c r="J91" s="81"/>
      <c r="K91" s="131"/>
      <c r="L91" s="131"/>
      <c r="M91" s="131">
        <v>1</v>
      </c>
      <c r="N91" s="131">
        <v>1.4</v>
      </c>
      <c r="O91" s="131" t="s">
        <v>865</v>
      </c>
      <c r="P91" s="84" t="s">
        <v>77</v>
      </c>
      <c r="Q91" s="87"/>
      <c r="R91" s="86"/>
      <c r="S91" s="148"/>
      <c r="T91" s="82"/>
      <c r="U91" s="82"/>
      <c r="V91" s="82" t="s">
        <v>70</v>
      </c>
      <c r="W91" s="82" t="s">
        <v>369</v>
      </c>
      <c r="X91" s="82" t="s">
        <v>84</v>
      </c>
      <c r="Y91" s="82" t="s">
        <v>73</v>
      </c>
    </row>
    <row r="92" spans="1:25">
      <c r="A92" s="79" t="s">
        <v>61</v>
      </c>
      <c r="B92" s="79" t="s">
        <v>716</v>
      </c>
      <c r="C92" s="79" t="s">
        <v>717</v>
      </c>
      <c r="D92" s="80" t="s">
        <v>718</v>
      </c>
      <c r="E92" s="83" t="s">
        <v>65</v>
      </c>
      <c r="F92" s="85" t="s">
        <v>66</v>
      </c>
      <c r="G92" s="79" t="s">
        <v>363</v>
      </c>
      <c r="H92" s="79" t="s">
        <v>364</v>
      </c>
      <c r="I92" s="81" t="s">
        <v>364</v>
      </c>
      <c r="J92" s="81"/>
      <c r="K92" s="131"/>
      <c r="L92" s="131"/>
      <c r="M92" s="131">
        <v>1</v>
      </c>
      <c r="N92" s="131">
        <v>1</v>
      </c>
      <c r="O92" s="131" t="s">
        <v>867</v>
      </c>
      <c r="P92" s="84" t="s">
        <v>66</v>
      </c>
      <c r="Q92" s="87"/>
      <c r="R92" s="86"/>
      <c r="S92" s="148"/>
      <c r="T92" s="82"/>
      <c r="U92" s="82"/>
      <c r="V92" s="82" t="s">
        <v>70</v>
      </c>
      <c r="W92" s="82" t="s">
        <v>71</v>
      </c>
      <c r="X92" s="82" t="s">
        <v>84</v>
      </c>
      <c r="Y92" s="82" t="s">
        <v>73</v>
      </c>
    </row>
    <row r="93" spans="1:25">
      <c r="A93" s="79" t="s">
        <v>61</v>
      </c>
      <c r="B93" s="79" t="s">
        <v>388</v>
      </c>
      <c r="C93" s="79" t="s">
        <v>389</v>
      </c>
      <c r="D93" s="80" t="s">
        <v>390</v>
      </c>
      <c r="E93" s="83" t="s">
        <v>65</v>
      </c>
      <c r="F93" s="85" t="s">
        <v>77</v>
      </c>
      <c r="G93" s="79" t="s">
        <v>363</v>
      </c>
      <c r="H93" s="79" t="s">
        <v>364</v>
      </c>
      <c r="I93" s="81" t="s">
        <v>364</v>
      </c>
      <c r="J93" s="81"/>
      <c r="K93" s="131"/>
      <c r="L93" s="131"/>
      <c r="M93" s="131">
        <v>1</v>
      </c>
      <c r="N93" s="131">
        <v>1</v>
      </c>
      <c r="O93" s="131" t="s">
        <v>867</v>
      </c>
      <c r="P93" s="84" t="s">
        <v>77</v>
      </c>
      <c r="Q93" s="87"/>
      <c r="R93" s="86"/>
      <c r="S93" s="148"/>
      <c r="T93" s="82"/>
      <c r="U93" s="82"/>
      <c r="V93" s="82" t="s">
        <v>70</v>
      </c>
      <c r="W93" s="82" t="s">
        <v>391</v>
      </c>
      <c r="X93" s="82" t="s">
        <v>72</v>
      </c>
      <c r="Y93" s="82" t="s">
        <v>80</v>
      </c>
    </row>
    <row r="94" spans="1:25">
      <c r="A94" s="79" t="s">
        <v>61</v>
      </c>
      <c r="B94" s="79" t="s">
        <v>392</v>
      </c>
      <c r="C94" s="79" t="s">
        <v>393</v>
      </c>
      <c r="D94" s="80" t="s">
        <v>394</v>
      </c>
      <c r="E94" s="83" t="s">
        <v>65</v>
      </c>
      <c r="F94" s="85" t="s">
        <v>77</v>
      </c>
      <c r="G94" s="79" t="s">
        <v>363</v>
      </c>
      <c r="H94" s="79" t="s">
        <v>364</v>
      </c>
      <c r="I94" s="81" t="s">
        <v>364</v>
      </c>
      <c r="J94" s="81"/>
      <c r="K94" s="131"/>
      <c r="L94" s="131"/>
      <c r="M94" s="131">
        <v>1</v>
      </c>
      <c r="N94" s="131">
        <v>1.2</v>
      </c>
      <c r="O94" s="131" t="s">
        <v>865</v>
      </c>
      <c r="P94" s="84" t="s">
        <v>77</v>
      </c>
      <c r="Q94" s="87"/>
      <c r="R94" s="86"/>
      <c r="S94" s="148"/>
      <c r="T94" s="82"/>
      <c r="U94" s="82"/>
      <c r="V94" s="82" t="s">
        <v>70</v>
      </c>
      <c r="W94" s="82" t="s">
        <v>205</v>
      </c>
    </row>
    <row r="95" spans="1:25">
      <c r="A95" s="79" t="s">
        <v>61</v>
      </c>
      <c r="B95" s="79" t="s">
        <v>395</v>
      </c>
      <c r="C95" s="79" t="s">
        <v>396</v>
      </c>
      <c r="D95" s="80" t="s">
        <v>397</v>
      </c>
      <c r="E95" s="83" t="s">
        <v>65</v>
      </c>
      <c r="F95" s="85" t="s">
        <v>77</v>
      </c>
      <c r="G95" s="79" t="s">
        <v>363</v>
      </c>
      <c r="H95" s="79" t="s">
        <v>364</v>
      </c>
      <c r="I95" s="81" t="s">
        <v>364</v>
      </c>
      <c r="J95" s="81"/>
      <c r="K95" s="131"/>
      <c r="L95" s="131"/>
      <c r="M95" s="131">
        <v>1</v>
      </c>
      <c r="N95" s="131">
        <v>1</v>
      </c>
      <c r="O95" s="131" t="s">
        <v>867</v>
      </c>
      <c r="P95" s="84" t="s">
        <v>77</v>
      </c>
      <c r="Q95" s="87"/>
      <c r="R95" s="86"/>
      <c r="S95" s="148"/>
      <c r="T95" s="82"/>
      <c r="U95" s="82"/>
      <c r="V95" s="82" t="s">
        <v>70</v>
      </c>
      <c r="W95" s="82" t="s">
        <v>79</v>
      </c>
    </row>
    <row r="96" spans="1:25">
      <c r="A96" s="79" t="s">
        <v>61</v>
      </c>
      <c r="B96" s="79" t="s">
        <v>382</v>
      </c>
      <c r="C96" s="79" t="s">
        <v>383</v>
      </c>
      <c r="D96" s="80" t="s">
        <v>384</v>
      </c>
      <c r="E96" s="83" t="s">
        <v>65</v>
      </c>
      <c r="F96" s="85" t="s">
        <v>66</v>
      </c>
      <c r="G96" s="79" t="s">
        <v>363</v>
      </c>
      <c r="H96" s="79" t="s">
        <v>364</v>
      </c>
      <c r="I96" s="81" t="s">
        <v>364</v>
      </c>
      <c r="J96" s="81"/>
      <c r="K96" s="131"/>
      <c r="L96" s="131"/>
      <c r="M96" s="131">
        <v>1</v>
      </c>
      <c r="N96" s="131">
        <v>1.2</v>
      </c>
      <c r="O96" s="131" t="s">
        <v>867</v>
      </c>
      <c r="P96" s="84" t="s">
        <v>66</v>
      </c>
      <c r="Q96" s="87"/>
      <c r="R96" s="86"/>
      <c r="S96" s="148"/>
      <c r="T96" s="82"/>
      <c r="U96" s="82"/>
      <c r="V96" s="82" t="s">
        <v>70</v>
      </c>
      <c r="W96" s="82" t="s">
        <v>79</v>
      </c>
    </row>
    <row r="97" spans="1:23">
      <c r="A97" s="79" t="s">
        <v>61</v>
      </c>
      <c r="B97" s="79" t="s">
        <v>401</v>
      </c>
      <c r="C97" s="79" t="s">
        <v>402</v>
      </c>
      <c r="D97" s="80" t="s">
        <v>403</v>
      </c>
      <c r="E97" s="83" t="s">
        <v>65</v>
      </c>
      <c r="F97" s="85" t="s">
        <v>77</v>
      </c>
      <c r="G97" s="79" t="s">
        <v>363</v>
      </c>
      <c r="H97" s="79" t="s">
        <v>364</v>
      </c>
      <c r="I97" s="81" t="s">
        <v>364</v>
      </c>
      <c r="J97" s="81"/>
      <c r="K97" s="131"/>
      <c r="L97" s="131"/>
      <c r="M97" s="131">
        <v>1</v>
      </c>
      <c r="N97" s="131">
        <v>1.2</v>
      </c>
      <c r="O97" s="131" t="s">
        <v>867</v>
      </c>
      <c r="P97" s="84" t="s">
        <v>77</v>
      </c>
      <c r="Q97" s="87"/>
      <c r="R97" s="86"/>
      <c r="S97" s="148"/>
      <c r="T97" s="82"/>
      <c r="U97" s="82"/>
      <c r="V97" s="82" t="s">
        <v>70</v>
      </c>
      <c r="W97" s="82" t="s">
        <v>79</v>
      </c>
    </row>
    <row r="98" spans="1:23">
      <c r="A98" s="79" t="s">
        <v>61</v>
      </c>
      <c r="B98" s="79" t="s">
        <v>739</v>
      </c>
      <c r="C98" s="79" t="s">
        <v>740</v>
      </c>
      <c r="D98" s="80" t="s">
        <v>741</v>
      </c>
      <c r="E98" s="83" t="s">
        <v>65</v>
      </c>
      <c r="F98" s="85" t="s">
        <v>66</v>
      </c>
      <c r="G98" s="79" t="s">
        <v>363</v>
      </c>
      <c r="H98" s="79" t="s">
        <v>364</v>
      </c>
      <c r="I98" s="81" t="s">
        <v>364</v>
      </c>
      <c r="J98" s="81"/>
      <c r="K98" s="131"/>
      <c r="L98" s="131"/>
      <c r="M98" s="131">
        <v>1</v>
      </c>
      <c r="N98" s="131">
        <v>1.2</v>
      </c>
      <c r="O98" s="131" t="s">
        <v>867</v>
      </c>
      <c r="P98" s="84" t="s">
        <v>66</v>
      </c>
      <c r="Q98" s="87"/>
      <c r="R98" s="86"/>
      <c r="S98" s="148"/>
      <c r="T98" s="82"/>
      <c r="U98" s="82"/>
      <c r="V98" s="82" t="s">
        <v>70</v>
      </c>
      <c r="W98" s="82" t="s">
        <v>79</v>
      </c>
    </row>
    <row r="99" spans="1:23">
      <c r="A99" s="79" t="s">
        <v>61</v>
      </c>
      <c r="B99" s="79" t="s">
        <v>360</v>
      </c>
      <c r="C99" s="79" t="s">
        <v>361</v>
      </c>
      <c r="D99" s="80" t="s">
        <v>362</v>
      </c>
      <c r="E99" s="83" t="s">
        <v>65</v>
      </c>
      <c r="F99" s="85" t="s">
        <v>66</v>
      </c>
      <c r="G99" s="79" t="s">
        <v>363</v>
      </c>
      <c r="H99" s="79" t="s">
        <v>68</v>
      </c>
      <c r="I99" s="81" t="s">
        <v>364</v>
      </c>
      <c r="J99" s="81"/>
      <c r="K99" s="131"/>
      <c r="L99" s="131"/>
      <c r="M99" s="131">
        <v>1</v>
      </c>
      <c r="N99" s="131">
        <v>1</v>
      </c>
      <c r="O99" s="131" t="s">
        <v>867</v>
      </c>
      <c r="P99" s="84" t="s">
        <v>66</v>
      </c>
      <c r="Q99" s="87"/>
      <c r="R99" s="86"/>
      <c r="S99" s="148"/>
      <c r="T99" s="82"/>
      <c r="U99" s="82"/>
      <c r="V99" s="82" t="s">
        <v>70</v>
      </c>
      <c r="W99" s="82" t="s">
        <v>79</v>
      </c>
    </row>
    <row r="100" spans="1:23">
      <c r="A100" s="79" t="s">
        <v>61</v>
      </c>
      <c r="B100" s="79" t="s">
        <v>385</v>
      </c>
      <c r="C100" s="156" t="s">
        <v>386</v>
      </c>
      <c r="D100" s="80" t="s">
        <v>387</v>
      </c>
      <c r="E100" s="83" t="s">
        <v>65</v>
      </c>
      <c r="F100" s="85" t="s">
        <v>66</v>
      </c>
      <c r="G100" s="79" t="s">
        <v>363</v>
      </c>
      <c r="H100" s="79" t="s">
        <v>364</v>
      </c>
      <c r="I100" s="81" t="s">
        <v>364</v>
      </c>
      <c r="J100" s="81"/>
      <c r="K100" s="131"/>
      <c r="L100" s="131"/>
      <c r="M100" s="131">
        <v>1</v>
      </c>
      <c r="N100" s="131">
        <v>1.2</v>
      </c>
      <c r="O100" s="131" t="s">
        <v>867</v>
      </c>
      <c r="P100" s="84" t="s">
        <v>66</v>
      </c>
      <c r="Q100" s="87"/>
      <c r="R100" s="86"/>
      <c r="S100" s="148"/>
      <c r="T100" s="82"/>
      <c r="U100" s="82"/>
      <c r="V100" s="82" t="s">
        <v>70</v>
      </c>
      <c r="W100" s="82" t="s">
        <v>79</v>
      </c>
    </row>
    <row r="101" spans="1:23">
      <c r="A101" s="79" t="s">
        <v>61</v>
      </c>
      <c r="B101" s="79" t="s">
        <v>376</v>
      </c>
      <c r="C101" s="156" t="s">
        <v>377</v>
      </c>
      <c r="D101" s="80" t="s">
        <v>378</v>
      </c>
      <c r="E101" s="83" t="s">
        <v>65</v>
      </c>
      <c r="F101" s="85" t="s">
        <v>77</v>
      </c>
      <c r="G101" s="79" t="s">
        <v>363</v>
      </c>
      <c r="H101" s="79" t="s">
        <v>368</v>
      </c>
      <c r="I101" s="81" t="s">
        <v>368</v>
      </c>
      <c r="J101" s="81"/>
      <c r="K101" s="131"/>
      <c r="L101" s="131"/>
      <c r="M101" s="131">
        <v>1.4</v>
      </c>
      <c r="N101" s="131">
        <v>1.4</v>
      </c>
      <c r="O101" s="131" t="s">
        <v>865</v>
      </c>
      <c r="P101" s="84" t="s">
        <v>77</v>
      </c>
      <c r="Q101" s="87"/>
      <c r="R101" s="86"/>
      <c r="S101" s="148"/>
      <c r="T101" s="82"/>
      <c r="U101" s="82"/>
      <c r="V101" s="82" t="s">
        <v>70</v>
      </c>
      <c r="W101" s="82" t="s">
        <v>369</v>
      </c>
    </row>
    <row r="102" spans="1:23">
      <c r="A102" s="79" t="s">
        <v>61</v>
      </c>
      <c r="B102" s="79" t="s">
        <v>446</v>
      </c>
      <c r="C102" s="156" t="s">
        <v>447</v>
      </c>
      <c r="D102" s="80" t="s">
        <v>881</v>
      </c>
      <c r="E102" s="83" t="s">
        <v>65</v>
      </c>
      <c r="F102" s="85" t="s">
        <v>66</v>
      </c>
      <c r="G102" s="79" t="s">
        <v>414</v>
      </c>
      <c r="H102" s="79" t="s">
        <v>415</v>
      </c>
      <c r="I102" s="81" t="s">
        <v>415</v>
      </c>
      <c r="J102" s="81" t="s">
        <v>13</v>
      </c>
      <c r="K102" s="131"/>
      <c r="L102" s="131"/>
      <c r="M102" s="131">
        <v>1</v>
      </c>
      <c r="N102" s="131">
        <v>1.2</v>
      </c>
      <c r="O102" s="131" t="s">
        <v>865</v>
      </c>
      <c r="P102" s="84" t="s">
        <v>66</v>
      </c>
      <c r="Q102" s="87"/>
      <c r="R102" s="86"/>
      <c r="S102" s="148"/>
      <c r="T102" s="82"/>
      <c r="U102" s="82"/>
      <c r="V102" s="82" t="s">
        <v>70</v>
      </c>
      <c r="W102" s="82" t="s">
        <v>209</v>
      </c>
    </row>
    <row r="103" spans="1:23">
      <c r="A103" s="79" t="s">
        <v>61</v>
      </c>
      <c r="B103" s="80" t="s">
        <v>477</v>
      </c>
      <c r="C103" s="79" t="s">
        <v>478</v>
      </c>
      <c r="D103" s="114" t="s">
        <v>479</v>
      </c>
      <c r="E103" s="83" t="s">
        <v>65</v>
      </c>
      <c r="F103" s="85" t="s">
        <v>77</v>
      </c>
      <c r="G103" s="79" t="s">
        <v>414</v>
      </c>
      <c r="H103" s="115" t="s">
        <v>415</v>
      </c>
      <c r="I103" s="116" t="s">
        <v>204</v>
      </c>
      <c r="J103" s="81"/>
      <c r="K103" s="130"/>
      <c r="L103" s="130"/>
      <c r="M103" s="131">
        <v>0.6</v>
      </c>
      <c r="N103" s="130">
        <v>1</v>
      </c>
      <c r="O103" s="130" t="s">
        <v>882</v>
      </c>
      <c r="P103" s="84" t="s">
        <v>77</v>
      </c>
      <c r="Q103" s="87"/>
      <c r="R103" s="86"/>
      <c r="S103" s="148"/>
      <c r="T103" s="82"/>
      <c r="U103" s="82"/>
      <c r="V103" s="82" t="s">
        <v>70</v>
      </c>
      <c r="W103" s="82" t="s">
        <v>209</v>
      </c>
    </row>
    <row r="104" spans="1:23">
      <c r="A104" s="79" t="s">
        <v>61</v>
      </c>
      <c r="B104" s="113" t="s">
        <v>437</v>
      </c>
      <c r="C104" s="79" t="s">
        <v>438</v>
      </c>
      <c r="D104" s="114" t="s">
        <v>439</v>
      </c>
      <c r="E104" s="83" t="s">
        <v>65</v>
      </c>
      <c r="F104" s="85" t="s">
        <v>77</v>
      </c>
      <c r="G104" s="115" t="s">
        <v>414</v>
      </c>
      <c r="H104" s="115" t="s">
        <v>415</v>
      </c>
      <c r="I104" s="116" t="s">
        <v>415</v>
      </c>
      <c r="J104" s="81"/>
      <c r="K104" s="131"/>
      <c r="L104" s="131"/>
      <c r="M104" s="131">
        <v>0.6</v>
      </c>
      <c r="N104" s="131">
        <v>1</v>
      </c>
      <c r="O104" s="131" t="s">
        <v>882</v>
      </c>
      <c r="P104" s="84" t="s">
        <v>77</v>
      </c>
      <c r="Q104" s="87"/>
      <c r="R104" s="86"/>
      <c r="S104" s="148"/>
      <c r="T104" s="82"/>
      <c r="U104" s="82"/>
      <c r="V104" s="82" t="s">
        <v>70</v>
      </c>
      <c r="W104" s="82" t="s">
        <v>209</v>
      </c>
    </row>
    <row r="105" spans="1:23">
      <c r="A105" s="79" t="s">
        <v>61</v>
      </c>
      <c r="B105" s="79">
        <v>17</v>
      </c>
      <c r="C105" s="79">
        <v>15</v>
      </c>
      <c r="D105" s="146" t="s">
        <v>427</v>
      </c>
      <c r="E105" s="83" t="s">
        <v>65</v>
      </c>
      <c r="F105" s="85" t="s">
        <v>77</v>
      </c>
      <c r="G105" s="115" t="s">
        <v>414</v>
      </c>
      <c r="H105" s="115" t="s">
        <v>415</v>
      </c>
      <c r="I105" s="116" t="s">
        <v>415</v>
      </c>
      <c r="J105" s="102" t="s">
        <v>16</v>
      </c>
      <c r="K105" s="131" t="s">
        <v>16</v>
      </c>
      <c r="L105" s="131"/>
      <c r="M105" s="131">
        <v>0.6</v>
      </c>
      <c r="N105" s="131">
        <v>0.6</v>
      </c>
      <c r="O105" s="131" t="s">
        <v>882</v>
      </c>
      <c r="P105" s="84" t="s">
        <v>77</v>
      </c>
      <c r="Q105" s="87"/>
      <c r="R105" s="86"/>
      <c r="S105" s="148" t="s">
        <v>159</v>
      </c>
      <c r="T105" s="82"/>
      <c r="U105" s="82"/>
      <c r="V105" s="82" t="s">
        <v>70</v>
      </c>
      <c r="W105" s="82" t="s">
        <v>209</v>
      </c>
    </row>
    <row r="106" spans="1:23">
      <c r="A106" s="79" t="s">
        <v>61</v>
      </c>
      <c r="B106" s="113" t="s">
        <v>443</v>
      </c>
      <c r="C106" s="79" t="s">
        <v>444</v>
      </c>
      <c r="D106" s="114" t="s">
        <v>445</v>
      </c>
      <c r="E106" s="83" t="s">
        <v>65</v>
      </c>
      <c r="F106" s="85" t="s">
        <v>77</v>
      </c>
      <c r="G106" s="115" t="s">
        <v>414</v>
      </c>
      <c r="H106" s="115" t="s">
        <v>415</v>
      </c>
      <c r="I106" s="116" t="s">
        <v>415</v>
      </c>
      <c r="J106" s="139"/>
      <c r="K106" s="131"/>
      <c r="L106" s="131"/>
      <c r="M106" s="131">
        <v>0.6</v>
      </c>
      <c r="N106" s="131">
        <v>0.6</v>
      </c>
      <c r="O106" s="131" t="s">
        <v>882</v>
      </c>
      <c r="P106" s="84" t="s">
        <v>77</v>
      </c>
      <c r="Q106" s="87"/>
      <c r="R106" s="86"/>
      <c r="S106" s="148"/>
      <c r="T106" s="82"/>
      <c r="U106" s="82"/>
      <c r="V106" s="82" t="s">
        <v>70</v>
      </c>
      <c r="W106" s="82" t="s">
        <v>209</v>
      </c>
    </row>
    <row r="107" spans="1:23">
      <c r="A107" s="79" t="s">
        <v>61</v>
      </c>
      <c r="B107" s="79">
        <v>6</v>
      </c>
      <c r="C107" s="113" t="s">
        <v>450</v>
      </c>
      <c r="D107" s="114" t="s">
        <v>451</v>
      </c>
      <c r="E107" s="83" t="s">
        <v>65</v>
      </c>
      <c r="F107" s="179" t="s">
        <v>77</v>
      </c>
      <c r="G107" s="200" t="s">
        <v>414</v>
      </c>
      <c r="H107" s="202" t="s">
        <v>415</v>
      </c>
      <c r="I107" s="205" t="s">
        <v>415</v>
      </c>
      <c r="J107" s="102" t="s">
        <v>12</v>
      </c>
      <c r="K107" s="131"/>
      <c r="L107" s="131"/>
      <c r="M107" s="131">
        <v>0.6</v>
      </c>
      <c r="N107" s="131">
        <v>0.6</v>
      </c>
      <c r="O107" s="131" t="s">
        <v>12</v>
      </c>
      <c r="P107" s="84" t="s">
        <v>77</v>
      </c>
      <c r="Q107" s="87"/>
      <c r="R107" s="86"/>
      <c r="S107" s="148"/>
      <c r="T107" s="82"/>
      <c r="U107" s="82"/>
      <c r="V107" s="82" t="s">
        <v>70</v>
      </c>
      <c r="W107" s="82" t="s">
        <v>209</v>
      </c>
    </row>
    <row r="108" spans="1:23">
      <c r="A108" s="79" t="s">
        <v>61</v>
      </c>
      <c r="B108" s="79" t="s">
        <v>428</v>
      </c>
      <c r="C108" s="79" t="s">
        <v>429</v>
      </c>
      <c r="D108" s="80" t="s">
        <v>430</v>
      </c>
      <c r="E108" s="83" t="s">
        <v>65</v>
      </c>
      <c r="F108" s="85" t="s">
        <v>66</v>
      </c>
      <c r="G108" s="79" t="s">
        <v>414</v>
      </c>
      <c r="H108" s="79" t="s">
        <v>415</v>
      </c>
      <c r="I108" s="81" t="s">
        <v>415</v>
      </c>
      <c r="J108" s="81"/>
      <c r="K108" s="131"/>
      <c r="L108" s="131"/>
      <c r="M108" s="131">
        <v>1</v>
      </c>
      <c r="N108" s="131">
        <v>1.4</v>
      </c>
      <c r="O108" s="131" t="s">
        <v>865</v>
      </c>
      <c r="P108" s="84" t="s">
        <v>66</v>
      </c>
      <c r="Q108" s="87"/>
      <c r="R108" s="86"/>
      <c r="S108" s="148"/>
      <c r="T108" s="82"/>
      <c r="U108" s="82"/>
      <c r="V108" s="82" t="s">
        <v>70</v>
      </c>
      <c r="W108" s="82" t="s">
        <v>209</v>
      </c>
    </row>
    <row r="109" spans="1:23">
      <c r="A109" s="79" t="s">
        <v>61</v>
      </c>
      <c r="B109" s="79" t="s">
        <v>416</v>
      </c>
      <c r="C109" s="79" t="s">
        <v>417</v>
      </c>
      <c r="D109" s="80" t="s">
        <v>418</v>
      </c>
      <c r="E109" s="83" t="s">
        <v>65</v>
      </c>
      <c r="F109" s="85" t="s">
        <v>66</v>
      </c>
      <c r="G109" s="79" t="s">
        <v>414</v>
      </c>
      <c r="H109" s="79" t="s">
        <v>415</v>
      </c>
      <c r="I109" s="81" t="s">
        <v>204</v>
      </c>
      <c r="J109" s="81"/>
      <c r="K109" s="131"/>
      <c r="L109" s="131"/>
      <c r="M109" s="131">
        <v>1</v>
      </c>
      <c r="N109" s="131">
        <v>1.2</v>
      </c>
      <c r="O109" s="131" t="s">
        <v>865</v>
      </c>
      <c r="P109" s="84" t="s">
        <v>66</v>
      </c>
      <c r="Q109" s="87"/>
      <c r="R109" s="86"/>
      <c r="S109" s="148"/>
      <c r="T109" s="82"/>
      <c r="U109" s="82"/>
      <c r="V109" s="82" t="s">
        <v>70</v>
      </c>
      <c r="W109" s="82" t="s">
        <v>209</v>
      </c>
    </row>
    <row r="110" spans="1:23">
      <c r="A110" s="79" t="s">
        <v>61</v>
      </c>
      <c r="B110" s="79" t="s">
        <v>434</v>
      </c>
      <c r="C110" s="79" t="s">
        <v>435</v>
      </c>
      <c r="D110" s="80" t="s">
        <v>436</v>
      </c>
      <c r="E110" s="83" t="s">
        <v>65</v>
      </c>
      <c r="F110" s="85" t="s">
        <v>66</v>
      </c>
      <c r="G110" s="79" t="s">
        <v>414</v>
      </c>
      <c r="H110" s="79" t="s">
        <v>415</v>
      </c>
      <c r="I110" s="81" t="s">
        <v>415</v>
      </c>
      <c r="J110" s="81"/>
      <c r="K110" s="131"/>
      <c r="L110" s="131"/>
      <c r="M110" s="131">
        <v>1</v>
      </c>
      <c r="N110" s="131">
        <v>1.4</v>
      </c>
      <c r="O110" s="131" t="s">
        <v>865</v>
      </c>
      <c r="P110" s="84" t="s">
        <v>66</v>
      </c>
      <c r="Q110" s="87"/>
      <c r="R110" s="86"/>
      <c r="S110" s="148"/>
      <c r="T110" s="82"/>
      <c r="U110" s="82"/>
      <c r="V110" s="82" t="s">
        <v>70</v>
      </c>
      <c r="W110" s="82" t="s">
        <v>209</v>
      </c>
    </row>
    <row r="111" spans="1:23">
      <c r="A111" s="79" t="s">
        <v>61</v>
      </c>
      <c r="B111" s="79" t="s">
        <v>422</v>
      </c>
      <c r="C111" s="79" t="s">
        <v>423</v>
      </c>
      <c r="D111" s="80" t="s">
        <v>424</v>
      </c>
      <c r="E111" s="83" t="s">
        <v>65</v>
      </c>
      <c r="F111" s="85" t="s">
        <v>88</v>
      </c>
      <c r="G111" s="79" t="s">
        <v>414</v>
      </c>
      <c r="H111" s="79" t="s">
        <v>415</v>
      </c>
      <c r="I111" s="81" t="s">
        <v>415</v>
      </c>
      <c r="J111" s="81"/>
      <c r="K111" s="131"/>
      <c r="L111" s="131"/>
      <c r="M111" s="131">
        <v>1</v>
      </c>
      <c r="N111" s="131">
        <v>1.2</v>
      </c>
      <c r="O111" s="131" t="s">
        <v>865</v>
      </c>
      <c r="P111" s="84" t="s">
        <v>88</v>
      </c>
      <c r="Q111" s="87"/>
      <c r="R111" s="86"/>
      <c r="S111" s="148"/>
      <c r="T111" s="82"/>
      <c r="U111" s="82"/>
      <c r="V111" s="82" t="s">
        <v>70</v>
      </c>
      <c r="W111" s="82" t="s">
        <v>209</v>
      </c>
    </row>
    <row r="112" spans="1:23">
      <c r="A112" s="79" t="s">
        <v>61</v>
      </c>
      <c r="B112" s="79" t="s">
        <v>455</v>
      </c>
      <c r="C112" s="79" t="s">
        <v>456</v>
      </c>
      <c r="D112" s="80" t="s">
        <v>457</v>
      </c>
      <c r="E112" s="83" t="s">
        <v>65</v>
      </c>
      <c r="F112" s="85" t="s">
        <v>77</v>
      </c>
      <c r="G112" s="79" t="s">
        <v>414</v>
      </c>
      <c r="H112" s="79" t="s">
        <v>415</v>
      </c>
      <c r="I112" s="81" t="s">
        <v>415</v>
      </c>
      <c r="J112" s="81"/>
      <c r="K112" s="131"/>
      <c r="L112" s="131"/>
      <c r="M112" s="131">
        <v>1</v>
      </c>
      <c r="N112" s="131">
        <v>1.2</v>
      </c>
      <c r="O112" s="131" t="s">
        <v>865</v>
      </c>
      <c r="P112" s="84" t="s">
        <v>77</v>
      </c>
      <c r="Q112" s="87"/>
      <c r="R112" s="86"/>
      <c r="S112" s="148"/>
      <c r="T112" s="82"/>
      <c r="U112" s="82"/>
      <c r="V112" s="82" t="s">
        <v>70</v>
      </c>
      <c r="W112" s="82" t="s">
        <v>209</v>
      </c>
    </row>
    <row r="113" spans="1:23">
      <c r="A113" s="79" t="s">
        <v>61</v>
      </c>
      <c r="B113" s="79" t="s">
        <v>462</v>
      </c>
      <c r="C113" s="79" t="s">
        <v>463</v>
      </c>
      <c r="D113" s="80" t="s">
        <v>464</v>
      </c>
      <c r="E113" s="83" t="s">
        <v>65</v>
      </c>
      <c r="F113" s="85" t="s">
        <v>66</v>
      </c>
      <c r="G113" s="79" t="s">
        <v>414</v>
      </c>
      <c r="H113" s="79" t="s">
        <v>415</v>
      </c>
      <c r="I113" s="81" t="s">
        <v>415</v>
      </c>
      <c r="J113" s="81"/>
      <c r="K113" s="131"/>
      <c r="L113" s="131"/>
      <c r="M113" s="131">
        <v>1</v>
      </c>
      <c r="N113" s="131">
        <v>1.4</v>
      </c>
      <c r="O113" s="131" t="s">
        <v>865</v>
      </c>
      <c r="P113" s="84" t="s">
        <v>66</v>
      </c>
      <c r="Q113" s="87"/>
      <c r="R113" s="86"/>
      <c r="S113" s="148"/>
      <c r="T113" s="82"/>
      <c r="U113" s="82"/>
      <c r="V113" s="82" t="s">
        <v>70</v>
      </c>
      <c r="W113" s="82" t="s">
        <v>209</v>
      </c>
    </row>
    <row r="114" spans="1:23">
      <c r="A114" s="79" t="s">
        <v>61</v>
      </c>
      <c r="B114" s="79" t="s">
        <v>468</v>
      </c>
      <c r="C114" s="79" t="s">
        <v>469</v>
      </c>
      <c r="D114" s="80" t="s">
        <v>470</v>
      </c>
      <c r="E114" s="83" t="s">
        <v>65</v>
      </c>
      <c r="F114" s="85" t="s">
        <v>88</v>
      </c>
      <c r="G114" s="79" t="s">
        <v>414</v>
      </c>
      <c r="H114" s="79" t="s">
        <v>415</v>
      </c>
      <c r="I114" s="81" t="s">
        <v>415</v>
      </c>
      <c r="J114" s="81"/>
      <c r="K114" s="131"/>
      <c r="L114" s="131"/>
      <c r="M114" s="131">
        <v>1</v>
      </c>
      <c r="N114" s="131">
        <v>1.4</v>
      </c>
      <c r="O114" s="131" t="s">
        <v>865</v>
      </c>
      <c r="P114" s="84" t="s">
        <v>88</v>
      </c>
      <c r="Q114" s="87"/>
      <c r="R114" s="86"/>
      <c r="S114" s="148"/>
      <c r="T114" s="82"/>
      <c r="U114" s="82"/>
      <c r="V114" s="82" t="s">
        <v>70</v>
      </c>
      <c r="W114" s="82" t="s">
        <v>209</v>
      </c>
    </row>
    <row r="115" spans="1:23">
      <c r="A115" s="79" t="s">
        <v>61</v>
      </c>
      <c r="B115" s="79" t="s">
        <v>474</v>
      </c>
      <c r="C115" s="79" t="s">
        <v>475</v>
      </c>
      <c r="D115" s="80" t="s">
        <v>476</v>
      </c>
      <c r="E115" s="83" t="s">
        <v>65</v>
      </c>
      <c r="F115" s="85" t="s">
        <v>66</v>
      </c>
      <c r="G115" s="79" t="s">
        <v>414</v>
      </c>
      <c r="H115" s="79" t="s">
        <v>415</v>
      </c>
      <c r="I115" s="81" t="s">
        <v>204</v>
      </c>
      <c r="J115" s="81"/>
      <c r="K115" s="131"/>
      <c r="L115" s="131"/>
      <c r="M115" s="131">
        <v>1</v>
      </c>
      <c r="N115" s="131">
        <v>1.4</v>
      </c>
      <c r="O115" s="131" t="s">
        <v>865</v>
      </c>
      <c r="P115" s="84" t="s">
        <v>66</v>
      </c>
      <c r="Q115" s="87"/>
      <c r="R115" s="86"/>
      <c r="S115" s="148"/>
      <c r="T115" s="82"/>
      <c r="U115" s="82"/>
      <c r="V115" s="82" t="s">
        <v>70</v>
      </c>
      <c r="W115" s="82" t="s">
        <v>205</v>
      </c>
    </row>
    <row r="116" spans="1:23">
      <c r="A116" s="79" t="s">
        <v>61</v>
      </c>
      <c r="B116" s="79" t="s">
        <v>411</v>
      </c>
      <c r="C116" s="79" t="s">
        <v>412</v>
      </c>
      <c r="D116" s="80" t="s">
        <v>413</v>
      </c>
      <c r="E116" s="83" t="s">
        <v>65</v>
      </c>
      <c r="F116" s="85" t="s">
        <v>88</v>
      </c>
      <c r="G116" s="79" t="s">
        <v>414</v>
      </c>
      <c r="H116" s="79" t="s">
        <v>415</v>
      </c>
      <c r="I116" s="81" t="s">
        <v>204</v>
      </c>
      <c r="J116" s="81"/>
      <c r="K116" s="131"/>
      <c r="L116" s="131"/>
      <c r="M116" s="131">
        <v>1</v>
      </c>
      <c r="N116" s="131">
        <v>1.4</v>
      </c>
      <c r="O116" s="131" t="s">
        <v>865</v>
      </c>
      <c r="P116" s="84" t="s">
        <v>88</v>
      </c>
      <c r="Q116" s="87"/>
      <c r="R116" s="86"/>
      <c r="S116" s="148"/>
      <c r="T116" s="82"/>
      <c r="U116" s="82"/>
      <c r="V116" s="82" t="s">
        <v>70</v>
      </c>
      <c r="W116" s="82" t="s">
        <v>209</v>
      </c>
    </row>
    <row r="117" spans="1:23">
      <c r="A117" s="79" t="s">
        <v>61</v>
      </c>
      <c r="B117" s="79" t="s">
        <v>465</v>
      </c>
      <c r="C117" s="79" t="s">
        <v>466</v>
      </c>
      <c r="D117" s="80" t="s">
        <v>467</v>
      </c>
      <c r="E117" s="83" t="s">
        <v>65</v>
      </c>
      <c r="F117" s="85" t="s">
        <v>77</v>
      </c>
      <c r="G117" s="79" t="s">
        <v>414</v>
      </c>
      <c r="H117" s="79" t="s">
        <v>415</v>
      </c>
      <c r="I117" s="81" t="s">
        <v>415</v>
      </c>
      <c r="J117" s="81"/>
      <c r="K117" s="131"/>
      <c r="L117" s="131"/>
      <c r="M117" s="131">
        <v>1.2</v>
      </c>
      <c r="N117" s="131">
        <v>1.2</v>
      </c>
      <c r="O117" s="131" t="s">
        <v>883</v>
      </c>
      <c r="P117" s="84" t="s">
        <v>77</v>
      </c>
      <c r="Q117" s="87"/>
      <c r="R117" s="86"/>
      <c r="S117" s="148"/>
      <c r="T117" s="82"/>
      <c r="U117" s="82"/>
      <c r="V117" s="82" t="s">
        <v>70</v>
      </c>
      <c r="W117" s="82" t="s">
        <v>209</v>
      </c>
    </row>
    <row r="118" spans="1:23">
      <c r="A118" s="79" t="s">
        <v>61</v>
      </c>
      <c r="B118" s="79" t="s">
        <v>440</v>
      </c>
      <c r="C118" s="79" t="s">
        <v>441</v>
      </c>
      <c r="D118" s="80" t="s">
        <v>442</v>
      </c>
      <c r="E118" s="83" t="s">
        <v>65</v>
      </c>
      <c r="F118" s="85" t="s">
        <v>77</v>
      </c>
      <c r="G118" s="79" t="s">
        <v>414</v>
      </c>
      <c r="H118" s="79" t="s">
        <v>415</v>
      </c>
      <c r="I118" s="81" t="s">
        <v>415</v>
      </c>
      <c r="J118" s="81"/>
      <c r="K118" s="131"/>
      <c r="L118" s="131"/>
      <c r="M118" s="131">
        <v>1.2</v>
      </c>
      <c r="N118" s="131">
        <v>1.2</v>
      </c>
      <c r="O118" s="131" t="s">
        <v>883</v>
      </c>
      <c r="P118" s="84" t="s">
        <v>77</v>
      </c>
      <c r="Q118" s="87"/>
      <c r="R118" s="86"/>
      <c r="S118" s="148"/>
      <c r="T118" s="82"/>
      <c r="U118" s="82"/>
      <c r="V118" s="82" t="s">
        <v>70</v>
      </c>
      <c r="W118" s="82" t="s">
        <v>209</v>
      </c>
    </row>
    <row r="119" spans="1:23">
      <c r="A119" s="79" t="s">
        <v>61</v>
      </c>
      <c r="B119" s="79" t="s">
        <v>459</v>
      </c>
      <c r="C119" s="79" t="s">
        <v>460</v>
      </c>
      <c r="D119" s="80" t="s">
        <v>461</v>
      </c>
      <c r="E119" s="83" t="s">
        <v>65</v>
      </c>
      <c r="F119" s="85" t="s">
        <v>66</v>
      </c>
      <c r="G119" s="79" t="s">
        <v>414</v>
      </c>
      <c r="H119" s="79" t="s">
        <v>415</v>
      </c>
      <c r="I119" s="81" t="s">
        <v>364</v>
      </c>
      <c r="J119" s="81"/>
      <c r="K119" s="131"/>
      <c r="L119" s="131"/>
      <c r="M119" s="131">
        <v>1.3</v>
      </c>
      <c r="N119" s="131">
        <v>1.4</v>
      </c>
      <c r="O119" s="131" t="s">
        <v>865</v>
      </c>
      <c r="P119" s="84" t="s">
        <v>66</v>
      </c>
      <c r="Q119" s="87"/>
      <c r="R119" s="86"/>
      <c r="S119" s="148"/>
      <c r="T119" s="82"/>
      <c r="U119" s="82"/>
      <c r="V119" s="82" t="s">
        <v>70</v>
      </c>
      <c r="W119" s="82" t="s">
        <v>209</v>
      </c>
    </row>
    <row r="120" spans="1:23">
      <c r="A120" s="79" t="s">
        <v>61</v>
      </c>
      <c r="B120" s="79" t="s">
        <v>431</v>
      </c>
      <c r="C120" s="79" t="s">
        <v>432</v>
      </c>
      <c r="D120" s="80" t="s">
        <v>433</v>
      </c>
      <c r="E120" s="83" t="s">
        <v>65</v>
      </c>
      <c r="F120" s="85" t="s">
        <v>77</v>
      </c>
      <c r="G120" s="79" t="s">
        <v>414</v>
      </c>
      <c r="H120" s="79" t="s">
        <v>415</v>
      </c>
      <c r="I120" s="81" t="s">
        <v>368</v>
      </c>
      <c r="J120" s="81"/>
      <c r="K120" s="131"/>
      <c r="L120" s="131"/>
      <c r="M120" s="131">
        <v>1.4</v>
      </c>
      <c r="N120" s="131">
        <v>1.4</v>
      </c>
      <c r="O120" s="131" t="s">
        <v>883</v>
      </c>
      <c r="P120" s="84" t="s">
        <v>77</v>
      </c>
      <c r="Q120" s="87"/>
      <c r="R120" s="86"/>
      <c r="S120" s="148"/>
      <c r="T120" s="82"/>
      <c r="U120" s="82"/>
      <c r="V120" s="82" t="s">
        <v>70</v>
      </c>
      <c r="W120" s="82" t="s">
        <v>209</v>
      </c>
    </row>
    <row r="121" spans="1:23">
      <c r="A121" s="79" t="s">
        <v>61</v>
      </c>
      <c r="B121" s="79" t="s">
        <v>419</v>
      </c>
      <c r="C121" s="79" t="s">
        <v>420</v>
      </c>
      <c r="D121" s="80" t="s">
        <v>421</v>
      </c>
      <c r="E121" s="83" t="s">
        <v>65</v>
      </c>
      <c r="F121" s="85" t="s">
        <v>77</v>
      </c>
      <c r="G121" s="79" t="s">
        <v>414</v>
      </c>
      <c r="H121" s="79" t="s">
        <v>415</v>
      </c>
      <c r="I121" s="81" t="s">
        <v>204</v>
      </c>
      <c r="J121" s="81"/>
      <c r="K121" s="131"/>
      <c r="L121" s="131"/>
      <c r="M121" s="131">
        <v>1.4</v>
      </c>
      <c r="N121" s="131">
        <v>1.4</v>
      </c>
      <c r="O121" s="131" t="s">
        <v>883</v>
      </c>
      <c r="P121" s="84" t="s">
        <v>77</v>
      </c>
      <c r="Q121" s="87"/>
      <c r="R121" s="86"/>
      <c r="S121" s="148"/>
      <c r="T121" s="82"/>
      <c r="U121" s="82"/>
      <c r="V121" s="82" t="s">
        <v>70</v>
      </c>
      <c r="W121" s="82" t="s">
        <v>209</v>
      </c>
    </row>
    <row r="122" spans="1:23">
      <c r="A122" s="79" t="s">
        <v>61</v>
      </c>
      <c r="B122" s="79" t="s">
        <v>481</v>
      </c>
      <c r="C122" s="79" t="s">
        <v>482</v>
      </c>
      <c r="D122" s="80" t="s">
        <v>483</v>
      </c>
      <c r="E122" s="83" t="s">
        <v>65</v>
      </c>
      <c r="F122" s="85" t="s">
        <v>77</v>
      </c>
      <c r="G122" s="79" t="s">
        <v>414</v>
      </c>
      <c r="H122" s="79" t="s">
        <v>415</v>
      </c>
      <c r="I122" s="81" t="s">
        <v>415</v>
      </c>
      <c r="J122" s="81"/>
      <c r="K122" s="131"/>
      <c r="L122" s="131"/>
      <c r="M122" s="131">
        <v>1.4</v>
      </c>
      <c r="N122" s="131">
        <v>1.4</v>
      </c>
      <c r="O122" s="131" t="s">
        <v>883</v>
      </c>
      <c r="P122" s="84" t="s">
        <v>77</v>
      </c>
      <c r="Q122" s="87"/>
      <c r="R122" s="86"/>
      <c r="S122" s="148"/>
      <c r="T122" s="82"/>
      <c r="U122" s="82"/>
      <c r="V122" s="82" t="s">
        <v>70</v>
      </c>
      <c r="W122" s="82" t="s">
        <v>209</v>
      </c>
    </row>
    <row r="123" spans="1:23">
      <c r="A123" s="79" t="s">
        <v>61</v>
      </c>
      <c r="B123" s="79" t="s">
        <v>452</v>
      </c>
      <c r="C123" s="79" t="s">
        <v>453</v>
      </c>
      <c r="D123" s="80" t="s">
        <v>454</v>
      </c>
      <c r="E123" s="83" t="s">
        <v>65</v>
      </c>
      <c r="F123" s="85" t="s">
        <v>66</v>
      </c>
      <c r="G123" s="79" t="s">
        <v>414</v>
      </c>
      <c r="H123" s="79" t="s">
        <v>415</v>
      </c>
      <c r="I123" s="81" t="s">
        <v>415</v>
      </c>
      <c r="J123" s="81"/>
      <c r="K123" s="131"/>
      <c r="L123" s="131"/>
      <c r="M123" s="131">
        <v>1.4</v>
      </c>
      <c r="N123" s="131">
        <v>1.4</v>
      </c>
      <c r="O123" s="131" t="s">
        <v>883</v>
      </c>
      <c r="P123" s="84" t="s">
        <v>66</v>
      </c>
      <c r="Q123" s="87"/>
      <c r="R123" s="86"/>
      <c r="S123" s="148"/>
      <c r="T123" s="82"/>
      <c r="U123" s="82"/>
      <c r="V123" s="82" t="s">
        <v>70</v>
      </c>
      <c r="W123" s="82" t="s">
        <v>209</v>
      </c>
    </row>
    <row r="124" spans="1:23">
      <c r="A124" s="79" t="s">
        <v>61</v>
      </c>
      <c r="B124" s="79" t="s">
        <v>249</v>
      </c>
      <c r="C124" s="79" t="s">
        <v>250</v>
      </c>
      <c r="D124" s="80" t="s">
        <v>251</v>
      </c>
      <c r="E124" s="83" t="s">
        <v>65</v>
      </c>
      <c r="F124" s="85" t="s">
        <v>77</v>
      </c>
      <c r="G124" s="79" t="s">
        <v>414</v>
      </c>
      <c r="H124" s="79" t="s">
        <v>415</v>
      </c>
      <c r="I124" s="81" t="s">
        <v>368</v>
      </c>
      <c r="J124" s="81"/>
      <c r="K124" s="131"/>
      <c r="L124" s="131"/>
      <c r="M124" s="131">
        <v>1.4</v>
      </c>
      <c r="N124" s="131">
        <v>1.4</v>
      </c>
      <c r="O124" s="131" t="s">
        <v>883</v>
      </c>
      <c r="P124" s="84" t="s">
        <v>77</v>
      </c>
      <c r="Q124" s="87"/>
      <c r="R124" s="86"/>
      <c r="S124" s="148"/>
      <c r="T124" s="82"/>
      <c r="U124" s="82"/>
      <c r="V124" s="82" t="s">
        <v>70</v>
      </c>
      <c r="W124" s="82" t="s">
        <v>79</v>
      </c>
    </row>
    <row r="125" spans="1:23">
      <c r="A125" s="79" t="s">
        <v>61</v>
      </c>
      <c r="B125" s="79" t="s">
        <v>471</v>
      </c>
      <c r="C125" s="79" t="s">
        <v>472</v>
      </c>
      <c r="D125" s="80" t="s">
        <v>473</v>
      </c>
      <c r="E125" s="83" t="s">
        <v>65</v>
      </c>
      <c r="F125" s="85" t="s">
        <v>77</v>
      </c>
      <c r="G125" s="79" t="s">
        <v>414</v>
      </c>
      <c r="H125" s="79" t="s">
        <v>415</v>
      </c>
      <c r="I125" s="81" t="s">
        <v>368</v>
      </c>
      <c r="J125" s="81"/>
      <c r="K125" s="131"/>
      <c r="L125" s="131"/>
      <c r="M125" s="131">
        <v>1.4</v>
      </c>
      <c r="N125" s="131">
        <v>1.4</v>
      </c>
      <c r="O125" s="131" t="s">
        <v>883</v>
      </c>
      <c r="P125" s="84" t="s">
        <v>77</v>
      </c>
      <c r="Q125" s="87"/>
      <c r="R125" s="86"/>
      <c r="S125" s="148"/>
      <c r="T125" s="82"/>
      <c r="U125" s="82"/>
      <c r="V125" s="82" t="s">
        <v>70</v>
      </c>
      <c r="W125" s="82" t="s">
        <v>79</v>
      </c>
    </row>
    <row r="126" spans="1:23" hidden="1">
      <c r="A126" s="79" t="s">
        <v>61</v>
      </c>
      <c r="B126" s="113" t="s">
        <v>514</v>
      </c>
      <c r="C126" s="156" t="s">
        <v>515</v>
      </c>
      <c r="D126" s="114" t="s">
        <v>516</v>
      </c>
      <c r="E126" s="83" t="s">
        <v>65</v>
      </c>
      <c r="F126" s="85" t="s">
        <v>77</v>
      </c>
      <c r="G126" s="79" t="s">
        <v>640</v>
      </c>
      <c r="H126" s="115" t="s">
        <v>492</v>
      </c>
      <c r="I126" s="116" t="s">
        <v>492</v>
      </c>
      <c r="J126" s="81"/>
      <c r="K126" s="131"/>
      <c r="L126" s="131"/>
      <c r="M126" s="131">
        <v>0.6</v>
      </c>
      <c r="N126" s="131"/>
      <c r="O126" s="131"/>
      <c r="P126" s="84" t="s">
        <v>77</v>
      </c>
      <c r="Q126" s="87"/>
      <c r="R126" s="86"/>
      <c r="S126" s="148"/>
      <c r="T126" s="82"/>
      <c r="U126" s="82"/>
      <c r="V126" s="82" t="s">
        <v>119</v>
      </c>
      <c r="W126" s="82" t="s">
        <v>205</v>
      </c>
    </row>
    <row r="127" spans="1:23" hidden="1">
      <c r="A127" s="79" t="s">
        <v>61</v>
      </c>
      <c r="B127" s="113" t="s">
        <v>508</v>
      </c>
      <c r="C127" s="79" t="s">
        <v>509</v>
      </c>
      <c r="D127" s="114" t="s">
        <v>510</v>
      </c>
      <c r="E127" s="83" t="s">
        <v>65</v>
      </c>
      <c r="F127" s="85" t="s">
        <v>77</v>
      </c>
      <c r="G127" s="79" t="s">
        <v>640</v>
      </c>
      <c r="H127" s="115" t="s">
        <v>492</v>
      </c>
      <c r="I127" s="116" t="s">
        <v>492</v>
      </c>
      <c r="J127" s="81"/>
      <c r="K127" s="131"/>
      <c r="L127" s="131"/>
      <c r="M127" s="131">
        <v>0.6</v>
      </c>
      <c r="N127" s="131"/>
      <c r="O127" s="131"/>
      <c r="P127" s="84" t="s">
        <v>77</v>
      </c>
      <c r="Q127" s="87"/>
      <c r="R127" s="86"/>
      <c r="S127" s="148"/>
      <c r="T127" s="82"/>
      <c r="U127" s="82"/>
      <c r="V127" s="82" t="s">
        <v>119</v>
      </c>
      <c r="W127" s="82" t="s">
        <v>205</v>
      </c>
    </row>
    <row r="128" spans="1:23" hidden="1">
      <c r="A128" s="79" t="s">
        <v>61</v>
      </c>
      <c r="B128" s="79" t="s">
        <v>548</v>
      </c>
      <c r="C128" s="79" t="s">
        <v>549</v>
      </c>
      <c r="D128" s="80" t="s">
        <v>550</v>
      </c>
      <c r="E128" s="83" t="s">
        <v>65</v>
      </c>
      <c r="F128" s="85" t="s">
        <v>66</v>
      </c>
      <c r="G128" s="79" t="s">
        <v>640</v>
      </c>
      <c r="H128" s="79" t="s">
        <v>488</v>
      </c>
      <c r="I128" s="81" t="s">
        <v>488</v>
      </c>
      <c r="J128" s="81"/>
      <c r="K128" s="131"/>
      <c r="L128" s="131"/>
      <c r="M128" s="131">
        <v>0.6</v>
      </c>
      <c r="N128" s="131"/>
      <c r="O128" s="131"/>
      <c r="P128" s="84" t="s">
        <v>66</v>
      </c>
      <c r="Q128" s="87">
        <v>46090</v>
      </c>
      <c r="R128" s="86">
        <v>46092</v>
      </c>
      <c r="S128" s="148" t="s">
        <v>779</v>
      </c>
      <c r="T128" s="82"/>
      <c r="U128" s="82"/>
      <c r="V128" s="82" t="s">
        <v>119</v>
      </c>
      <c r="W128" s="82" t="s">
        <v>205</v>
      </c>
    </row>
    <row r="129" spans="1:23" hidden="1">
      <c r="A129" s="79" t="s">
        <v>61</v>
      </c>
      <c r="B129" s="79" t="s">
        <v>588</v>
      </c>
      <c r="C129" s="79" t="s">
        <v>589</v>
      </c>
      <c r="D129" s="80" t="s">
        <v>590</v>
      </c>
      <c r="E129" s="83" t="s">
        <v>65</v>
      </c>
      <c r="F129" s="85" t="s">
        <v>66</v>
      </c>
      <c r="G129" s="79" t="s">
        <v>640</v>
      </c>
      <c r="H129" s="79" t="s">
        <v>492</v>
      </c>
      <c r="I129" s="81" t="s">
        <v>492</v>
      </c>
      <c r="J129" s="81"/>
      <c r="K129" s="131"/>
      <c r="L129" s="131"/>
      <c r="M129" s="131">
        <v>1</v>
      </c>
      <c r="N129" s="131"/>
      <c r="O129" s="131"/>
      <c r="P129" s="84" t="s">
        <v>66</v>
      </c>
      <c r="Q129" s="87"/>
      <c r="R129" s="86"/>
      <c r="S129" s="148" t="s">
        <v>884</v>
      </c>
      <c r="T129" s="82"/>
      <c r="U129" s="82"/>
      <c r="V129" s="82" t="s">
        <v>119</v>
      </c>
      <c r="W129" s="82" t="s">
        <v>205</v>
      </c>
    </row>
    <row r="130" spans="1:23" hidden="1">
      <c r="A130" s="79" t="s">
        <v>61</v>
      </c>
      <c r="B130" s="121" t="s">
        <v>499</v>
      </c>
      <c r="C130" s="79" t="s">
        <v>500</v>
      </c>
      <c r="D130" s="80" t="s">
        <v>501</v>
      </c>
      <c r="E130" s="83" t="s">
        <v>65</v>
      </c>
      <c r="F130" s="85" t="s">
        <v>66</v>
      </c>
      <c r="G130" s="79" t="s">
        <v>640</v>
      </c>
      <c r="H130" s="79" t="s">
        <v>492</v>
      </c>
      <c r="I130" s="81" t="s">
        <v>492</v>
      </c>
      <c r="J130" s="81"/>
      <c r="K130" s="131"/>
      <c r="L130" s="131"/>
      <c r="M130" s="131">
        <v>1</v>
      </c>
      <c r="N130" s="131"/>
      <c r="O130" s="131"/>
      <c r="P130" s="84" t="s">
        <v>66</v>
      </c>
      <c r="Q130" s="87"/>
      <c r="R130" s="86"/>
      <c r="S130" s="148"/>
      <c r="T130" s="82"/>
      <c r="U130" s="82"/>
      <c r="V130" s="82" t="s">
        <v>119</v>
      </c>
      <c r="W130" s="82" t="s">
        <v>205</v>
      </c>
    </row>
    <row r="131" spans="1:23" hidden="1">
      <c r="A131" s="79" t="s">
        <v>61</v>
      </c>
      <c r="B131" s="121" t="s">
        <v>502</v>
      </c>
      <c r="C131" s="79" t="s">
        <v>503</v>
      </c>
      <c r="D131" s="80" t="s">
        <v>504</v>
      </c>
      <c r="E131" s="83" t="s">
        <v>65</v>
      </c>
      <c r="F131" s="85" t="s">
        <v>66</v>
      </c>
      <c r="G131" s="79" t="s">
        <v>640</v>
      </c>
      <c r="H131" s="79" t="s">
        <v>492</v>
      </c>
      <c r="I131" s="81" t="s">
        <v>492</v>
      </c>
      <c r="J131" s="81"/>
      <c r="K131" s="131"/>
      <c r="L131" s="131"/>
      <c r="M131" s="131">
        <v>1</v>
      </c>
      <c r="N131" s="131"/>
      <c r="O131" s="131"/>
      <c r="P131" s="84" t="s">
        <v>66</v>
      </c>
      <c r="Q131" s="87"/>
      <c r="R131" s="86"/>
      <c r="S131" s="148"/>
      <c r="T131" s="82"/>
      <c r="U131" s="82"/>
      <c r="V131" s="82" t="s">
        <v>119</v>
      </c>
      <c r="W131" s="82" t="s">
        <v>205</v>
      </c>
    </row>
    <row r="132" spans="1:23" hidden="1">
      <c r="A132" s="120" t="s">
        <v>61</v>
      </c>
      <c r="B132" s="145" t="s">
        <v>585</v>
      </c>
      <c r="C132" s="79" t="s">
        <v>586</v>
      </c>
      <c r="D132" s="123" t="s">
        <v>587</v>
      </c>
      <c r="E132" s="83" t="s">
        <v>65</v>
      </c>
      <c r="F132" s="85" t="s">
        <v>66</v>
      </c>
      <c r="G132" s="79" t="s">
        <v>640</v>
      </c>
      <c r="H132" s="79" t="s">
        <v>492</v>
      </c>
      <c r="I132" s="81" t="s">
        <v>492</v>
      </c>
      <c r="J132" s="81"/>
      <c r="K132" s="131"/>
      <c r="L132" s="131"/>
      <c r="M132" s="131">
        <v>1</v>
      </c>
      <c r="N132" s="131"/>
      <c r="O132" s="131"/>
      <c r="P132" s="84" t="s">
        <v>66</v>
      </c>
      <c r="Q132" s="87"/>
      <c r="R132" s="86"/>
      <c r="S132" s="148"/>
      <c r="T132" s="82"/>
      <c r="U132" s="82"/>
      <c r="V132" s="82" t="s">
        <v>119</v>
      </c>
      <c r="W132" s="82" t="s">
        <v>205</v>
      </c>
    </row>
    <row r="133" spans="1:23" hidden="1">
      <c r="A133" s="120" t="s">
        <v>61</v>
      </c>
      <c r="B133" s="106" t="s">
        <v>511</v>
      </c>
      <c r="C133" s="79" t="s">
        <v>512</v>
      </c>
      <c r="D133" s="199" t="s">
        <v>513</v>
      </c>
      <c r="E133" s="83" t="s">
        <v>65</v>
      </c>
      <c r="F133" s="85" t="s">
        <v>66</v>
      </c>
      <c r="G133" s="156" t="s">
        <v>640</v>
      </c>
      <c r="H133" s="156" t="s">
        <v>492</v>
      </c>
      <c r="I133" s="209" t="s">
        <v>492</v>
      </c>
      <c r="J133" s="81"/>
      <c r="K133" s="131"/>
      <c r="L133" s="131"/>
      <c r="M133" s="131">
        <v>1</v>
      </c>
      <c r="N133" s="131"/>
      <c r="O133" s="131"/>
      <c r="P133" s="84" t="s">
        <v>66</v>
      </c>
      <c r="Q133" s="87"/>
      <c r="R133" s="86"/>
      <c r="S133" s="148"/>
      <c r="T133" s="82"/>
      <c r="U133" s="82"/>
      <c r="V133" s="82" t="s">
        <v>119</v>
      </c>
      <c r="W133" s="82" t="s">
        <v>205</v>
      </c>
    </row>
    <row r="134" spans="1:23" hidden="1">
      <c r="A134" s="120" t="s">
        <v>61</v>
      </c>
      <c r="B134" s="106" t="s">
        <v>517</v>
      </c>
      <c r="C134" s="79" t="s">
        <v>518</v>
      </c>
      <c r="D134" s="197" t="s">
        <v>519</v>
      </c>
      <c r="E134" s="83" t="s">
        <v>65</v>
      </c>
      <c r="F134" s="85" t="s">
        <v>77</v>
      </c>
      <c r="G134" s="160" t="s">
        <v>640</v>
      </c>
      <c r="H134" s="160" t="s">
        <v>492</v>
      </c>
      <c r="I134" s="206" t="s">
        <v>492</v>
      </c>
      <c r="J134" s="81"/>
      <c r="K134" s="131"/>
      <c r="L134" s="131"/>
      <c r="M134" s="131">
        <v>1</v>
      </c>
      <c r="N134" s="131"/>
      <c r="O134" s="131"/>
      <c r="P134" s="84" t="s">
        <v>77</v>
      </c>
      <c r="Q134" s="87"/>
      <c r="R134" s="86"/>
      <c r="S134" s="148"/>
      <c r="T134" s="82"/>
      <c r="U134" s="82"/>
      <c r="V134" s="82" t="s">
        <v>119</v>
      </c>
      <c r="W134" s="82" t="s">
        <v>205</v>
      </c>
    </row>
    <row r="135" spans="1:23" hidden="1">
      <c r="A135" s="120" t="s">
        <v>61</v>
      </c>
      <c r="B135" s="106" t="s">
        <v>523</v>
      </c>
      <c r="C135" s="79" t="s">
        <v>524</v>
      </c>
      <c r="D135" s="197" t="s">
        <v>525</v>
      </c>
      <c r="E135" s="83" t="s">
        <v>65</v>
      </c>
      <c r="F135" s="85" t="s">
        <v>77</v>
      </c>
      <c r="G135" s="160" t="s">
        <v>640</v>
      </c>
      <c r="H135" s="160" t="s">
        <v>492</v>
      </c>
      <c r="I135" s="206" t="s">
        <v>492</v>
      </c>
      <c r="J135" s="81"/>
      <c r="K135" s="131"/>
      <c r="L135" s="131"/>
      <c r="M135" s="131">
        <v>1</v>
      </c>
      <c r="N135" s="131"/>
      <c r="O135" s="131"/>
      <c r="P135" s="84" t="s">
        <v>77</v>
      </c>
      <c r="Q135" s="87"/>
      <c r="R135" s="86"/>
      <c r="S135" s="148" t="s">
        <v>778</v>
      </c>
      <c r="T135" s="82"/>
      <c r="U135" s="82"/>
      <c r="V135" s="82" t="s">
        <v>119</v>
      </c>
      <c r="W135" s="82" t="s">
        <v>205</v>
      </c>
    </row>
    <row r="136" spans="1:23" hidden="1">
      <c r="A136" s="120" t="s">
        <v>61</v>
      </c>
      <c r="B136" s="106" t="s">
        <v>568</v>
      </c>
      <c r="C136" s="79" t="s">
        <v>569</v>
      </c>
      <c r="D136" s="197" t="s">
        <v>570</v>
      </c>
      <c r="E136" s="83" t="s">
        <v>65</v>
      </c>
      <c r="F136" s="85" t="s">
        <v>66</v>
      </c>
      <c r="G136" s="160" t="s">
        <v>640</v>
      </c>
      <c r="H136" s="160" t="s">
        <v>488</v>
      </c>
      <c r="I136" s="206" t="s">
        <v>488</v>
      </c>
      <c r="J136" s="81"/>
      <c r="K136" s="131"/>
      <c r="L136" s="131"/>
      <c r="M136" s="131">
        <v>1</v>
      </c>
      <c r="N136" s="131"/>
      <c r="O136" s="131"/>
      <c r="P136" s="84" t="s">
        <v>66</v>
      </c>
      <c r="Q136" s="87"/>
      <c r="R136" s="86"/>
      <c r="S136" s="148"/>
      <c r="T136" s="82"/>
      <c r="U136" s="82"/>
      <c r="V136" s="82" t="s">
        <v>119</v>
      </c>
      <c r="W136" s="82" t="s">
        <v>205</v>
      </c>
    </row>
    <row r="137" spans="1:23" hidden="1">
      <c r="A137" s="120" t="s">
        <v>61</v>
      </c>
      <c r="B137" s="106" t="s">
        <v>554</v>
      </c>
      <c r="C137" s="79" t="s">
        <v>555</v>
      </c>
      <c r="D137" s="197" t="s">
        <v>556</v>
      </c>
      <c r="E137" s="83" t="s">
        <v>65</v>
      </c>
      <c r="F137" s="85" t="s">
        <v>77</v>
      </c>
      <c r="G137" s="160" t="s">
        <v>640</v>
      </c>
      <c r="H137" s="160" t="s">
        <v>488</v>
      </c>
      <c r="I137" s="206" t="s">
        <v>488</v>
      </c>
      <c r="J137" s="81"/>
      <c r="K137" s="131"/>
      <c r="L137" s="130"/>
      <c r="M137" s="131">
        <v>1</v>
      </c>
      <c r="N137" s="130"/>
      <c r="O137" s="130"/>
      <c r="P137" s="84" t="s">
        <v>77</v>
      </c>
      <c r="Q137" s="87"/>
      <c r="R137" s="86"/>
      <c r="S137" s="148"/>
      <c r="T137" s="82"/>
      <c r="U137" s="82"/>
      <c r="V137" s="82" t="s">
        <v>119</v>
      </c>
      <c r="W137" s="82" t="s">
        <v>557</v>
      </c>
    </row>
    <row r="138" spans="1:23" hidden="1">
      <c r="A138" s="120" t="s">
        <v>61</v>
      </c>
      <c r="B138" s="106" t="s">
        <v>591</v>
      </c>
      <c r="C138" s="79" t="s">
        <v>592</v>
      </c>
      <c r="D138" s="197" t="s">
        <v>593</v>
      </c>
      <c r="E138" s="83" t="s">
        <v>65</v>
      </c>
      <c r="F138" s="85" t="s">
        <v>77</v>
      </c>
      <c r="G138" s="160" t="s">
        <v>640</v>
      </c>
      <c r="H138" s="160" t="s">
        <v>488</v>
      </c>
      <c r="I138" s="206" t="s">
        <v>564</v>
      </c>
      <c r="J138" s="81"/>
      <c r="K138" s="131"/>
      <c r="L138" s="131"/>
      <c r="M138" s="131">
        <v>1</v>
      </c>
      <c r="N138" s="131"/>
      <c r="O138" s="131"/>
      <c r="P138" s="84" t="s">
        <v>77</v>
      </c>
      <c r="Q138" s="87"/>
      <c r="R138" s="86"/>
      <c r="S138" s="148"/>
      <c r="T138" s="82"/>
      <c r="U138" s="82"/>
      <c r="V138" s="82" t="s">
        <v>119</v>
      </c>
      <c r="W138" s="82" t="s">
        <v>205</v>
      </c>
    </row>
    <row r="139" spans="1:23" hidden="1">
      <c r="A139" s="120" t="s">
        <v>61</v>
      </c>
      <c r="B139" s="106" t="s">
        <v>582</v>
      </c>
      <c r="C139" s="79" t="s">
        <v>583</v>
      </c>
      <c r="D139" s="197" t="s">
        <v>584</v>
      </c>
      <c r="E139" s="83" t="s">
        <v>65</v>
      </c>
      <c r="F139" s="85" t="s">
        <v>66</v>
      </c>
      <c r="G139" s="160" t="s">
        <v>640</v>
      </c>
      <c r="H139" s="160" t="s">
        <v>488</v>
      </c>
      <c r="I139" s="206" t="s">
        <v>488</v>
      </c>
      <c r="J139" s="81"/>
      <c r="K139" s="131"/>
      <c r="L139" s="131"/>
      <c r="M139" s="131">
        <v>1</v>
      </c>
      <c r="N139" s="131"/>
      <c r="O139" s="131"/>
      <c r="P139" s="84" t="s">
        <v>66</v>
      </c>
      <c r="Q139" s="87">
        <v>46079</v>
      </c>
      <c r="R139" s="86">
        <v>46081</v>
      </c>
      <c r="S139" s="148"/>
      <c r="T139" s="82"/>
      <c r="U139" s="82"/>
      <c r="V139" s="82" t="s">
        <v>119</v>
      </c>
      <c r="W139" s="82" t="s">
        <v>205</v>
      </c>
    </row>
    <row r="140" spans="1:23" hidden="1">
      <c r="A140" s="120" t="s">
        <v>61</v>
      </c>
      <c r="B140" s="106" t="s">
        <v>526</v>
      </c>
      <c r="C140" s="79" t="s">
        <v>527</v>
      </c>
      <c r="D140" s="123" t="s">
        <v>528</v>
      </c>
      <c r="E140" s="83" t="s">
        <v>65</v>
      </c>
      <c r="F140" s="85" t="s">
        <v>77</v>
      </c>
      <c r="G140" s="160" t="s">
        <v>640</v>
      </c>
      <c r="H140" s="204" t="s">
        <v>488</v>
      </c>
      <c r="I140" s="208" t="s">
        <v>488</v>
      </c>
      <c r="J140" s="81"/>
      <c r="K140" s="131"/>
      <c r="L140" s="131"/>
      <c r="M140" s="131">
        <v>1</v>
      </c>
      <c r="N140" s="131"/>
      <c r="O140" s="131"/>
      <c r="P140" s="84" t="s">
        <v>77</v>
      </c>
      <c r="Q140" s="87">
        <v>46077</v>
      </c>
      <c r="R140" s="86">
        <v>46078</v>
      </c>
      <c r="S140" s="148"/>
      <c r="T140" s="82"/>
      <c r="U140" s="82"/>
      <c r="V140" s="82" t="s">
        <v>119</v>
      </c>
      <c r="W140" s="82" t="s">
        <v>205</v>
      </c>
    </row>
    <row r="141" spans="1:23" hidden="1">
      <c r="A141" s="120" t="s">
        <v>61</v>
      </c>
      <c r="B141" s="79" t="s">
        <v>545</v>
      </c>
      <c r="C141" s="79" t="s">
        <v>546</v>
      </c>
      <c r="D141" s="80" t="s">
        <v>547</v>
      </c>
      <c r="E141" s="83" t="s">
        <v>65</v>
      </c>
      <c r="F141" s="85" t="s">
        <v>77</v>
      </c>
      <c r="G141" s="160" t="s">
        <v>640</v>
      </c>
      <c r="H141" s="155" t="s">
        <v>488</v>
      </c>
      <c r="I141" s="207" t="s">
        <v>488</v>
      </c>
      <c r="J141" s="81"/>
      <c r="K141" s="131"/>
      <c r="L141" s="131"/>
      <c r="M141" s="131">
        <v>1</v>
      </c>
      <c r="N141" s="131"/>
      <c r="O141" s="131"/>
      <c r="P141" s="84" t="s">
        <v>77</v>
      </c>
      <c r="Q141" s="87"/>
      <c r="R141" s="86"/>
      <c r="S141" s="148"/>
      <c r="T141" s="82"/>
      <c r="U141" s="82"/>
      <c r="V141" s="82" t="s">
        <v>119</v>
      </c>
      <c r="W141" s="82" t="s">
        <v>205</v>
      </c>
    </row>
    <row r="142" spans="1:23" hidden="1">
      <c r="A142" s="120" t="s">
        <v>61</v>
      </c>
      <c r="B142" s="79" t="s">
        <v>505</v>
      </c>
      <c r="C142" s="79" t="s">
        <v>506</v>
      </c>
      <c r="D142" s="196" t="s">
        <v>507</v>
      </c>
      <c r="E142" s="83" t="s">
        <v>65</v>
      </c>
      <c r="F142" s="85" t="s">
        <v>77</v>
      </c>
      <c r="G142" s="79" t="s">
        <v>640</v>
      </c>
      <c r="H142" s="106" t="s">
        <v>492</v>
      </c>
      <c r="I142" s="109" t="s">
        <v>488</v>
      </c>
      <c r="J142" s="81"/>
      <c r="K142" s="131"/>
      <c r="L142" s="131"/>
      <c r="M142" s="131">
        <v>1</v>
      </c>
      <c r="N142" s="131"/>
      <c r="O142" s="131"/>
      <c r="P142" s="84" t="s">
        <v>77</v>
      </c>
      <c r="Q142" s="87"/>
      <c r="R142" s="86"/>
      <c r="S142" s="148"/>
      <c r="T142" s="82"/>
      <c r="U142" s="82"/>
      <c r="V142" s="82" t="s">
        <v>119</v>
      </c>
      <c r="W142" s="82" t="s">
        <v>205</v>
      </c>
    </row>
    <row r="143" spans="1:23" hidden="1">
      <c r="A143" s="120" t="s">
        <v>61</v>
      </c>
      <c r="B143" s="79" t="s">
        <v>551</v>
      </c>
      <c r="C143" s="79" t="s">
        <v>552</v>
      </c>
      <c r="D143" s="193" t="s">
        <v>553</v>
      </c>
      <c r="E143" s="83" t="s">
        <v>65</v>
      </c>
      <c r="F143" s="85" t="s">
        <v>77</v>
      </c>
      <c r="G143" s="160" t="s">
        <v>640</v>
      </c>
      <c r="H143" s="106" t="s">
        <v>488</v>
      </c>
      <c r="I143" s="109" t="s">
        <v>488</v>
      </c>
      <c r="J143" s="81"/>
      <c r="K143" s="131"/>
      <c r="L143" s="131"/>
      <c r="M143" s="131">
        <v>1</v>
      </c>
      <c r="N143" s="131"/>
      <c r="O143" s="131"/>
      <c r="P143" s="84" t="s">
        <v>77</v>
      </c>
      <c r="Q143" s="87"/>
      <c r="R143" s="86"/>
      <c r="S143" s="148"/>
      <c r="T143" s="82"/>
      <c r="U143" s="82"/>
      <c r="V143" s="82" t="s">
        <v>119</v>
      </c>
      <c r="W143" s="82" t="s">
        <v>205</v>
      </c>
    </row>
    <row r="144" spans="1:23" hidden="1">
      <c r="A144" s="120" t="s">
        <v>61</v>
      </c>
      <c r="B144" s="79" t="s">
        <v>533</v>
      </c>
      <c r="C144" s="79" t="s">
        <v>534</v>
      </c>
      <c r="D144" s="196" t="s">
        <v>535</v>
      </c>
      <c r="E144" s="83" t="s">
        <v>65</v>
      </c>
      <c r="F144" s="85" t="s">
        <v>77</v>
      </c>
      <c r="G144" s="160" t="s">
        <v>640</v>
      </c>
      <c r="H144" s="160" t="s">
        <v>488</v>
      </c>
      <c r="I144" s="206" t="s">
        <v>488</v>
      </c>
      <c r="J144" s="81"/>
      <c r="K144" s="131"/>
      <c r="L144" s="131"/>
      <c r="M144" s="131">
        <v>1</v>
      </c>
      <c r="N144" s="131"/>
      <c r="O144" s="131"/>
      <c r="P144" s="84" t="s">
        <v>77</v>
      </c>
      <c r="Q144" s="87"/>
      <c r="R144" s="86"/>
      <c r="S144" s="148"/>
      <c r="T144" s="82"/>
      <c r="U144" s="82"/>
      <c r="V144" s="82" t="s">
        <v>119</v>
      </c>
      <c r="W144" s="82" t="s">
        <v>205</v>
      </c>
    </row>
    <row r="145" spans="1:23" hidden="1">
      <c r="A145" s="120" t="s">
        <v>61</v>
      </c>
      <c r="B145" s="156" t="s">
        <v>536</v>
      </c>
      <c r="C145" s="79" t="s">
        <v>537</v>
      </c>
      <c r="D145" s="193" t="s">
        <v>538</v>
      </c>
      <c r="E145" s="83" t="s">
        <v>65</v>
      </c>
      <c r="F145" s="85" t="s">
        <v>66</v>
      </c>
      <c r="G145" s="160" t="s">
        <v>640</v>
      </c>
      <c r="H145" s="160" t="s">
        <v>488</v>
      </c>
      <c r="I145" s="206" t="s">
        <v>488</v>
      </c>
      <c r="J145" s="102" t="s">
        <v>1</v>
      </c>
      <c r="K145" s="131"/>
      <c r="L145" s="131"/>
      <c r="M145" s="131">
        <v>1</v>
      </c>
      <c r="N145" s="131"/>
      <c r="O145" s="131"/>
      <c r="P145" s="84" t="s">
        <v>66</v>
      </c>
      <c r="Q145" s="87"/>
      <c r="R145" s="86"/>
      <c r="S145" s="148"/>
      <c r="T145" s="82"/>
      <c r="U145" s="82"/>
      <c r="V145" s="82" t="s">
        <v>119</v>
      </c>
      <c r="W145" s="82" t="s">
        <v>205</v>
      </c>
    </row>
    <row r="146" spans="1:23" hidden="1">
      <c r="A146" s="79" t="s">
        <v>61</v>
      </c>
      <c r="B146" s="79" t="s">
        <v>539</v>
      </c>
      <c r="C146" s="79" t="s">
        <v>540</v>
      </c>
      <c r="D146" s="80" t="s">
        <v>541</v>
      </c>
      <c r="E146" s="83" t="s">
        <v>65</v>
      </c>
      <c r="F146" s="85" t="s">
        <v>77</v>
      </c>
      <c r="G146" s="79" t="s">
        <v>640</v>
      </c>
      <c r="H146" s="155" t="s">
        <v>488</v>
      </c>
      <c r="I146" s="81" t="s">
        <v>488</v>
      </c>
      <c r="J146" s="81"/>
      <c r="K146" s="131"/>
      <c r="L146" s="131"/>
      <c r="M146" s="131">
        <v>1</v>
      </c>
      <c r="N146" s="131"/>
      <c r="O146" s="131"/>
      <c r="P146" s="84" t="s">
        <v>77</v>
      </c>
      <c r="Q146" s="87"/>
      <c r="R146" s="86"/>
      <c r="S146" s="148"/>
      <c r="T146" s="82"/>
      <c r="U146" s="82"/>
      <c r="V146" s="82" t="s">
        <v>119</v>
      </c>
      <c r="W146" s="82" t="s">
        <v>205</v>
      </c>
    </row>
    <row r="147" spans="1:23" hidden="1">
      <c r="A147" s="79" t="s">
        <v>61</v>
      </c>
      <c r="B147" s="79" t="s">
        <v>558</v>
      </c>
      <c r="C147" s="79" t="s">
        <v>558</v>
      </c>
      <c r="D147" s="194" t="s">
        <v>559</v>
      </c>
      <c r="E147" s="83" t="s">
        <v>65</v>
      </c>
      <c r="F147" s="85" t="s">
        <v>77</v>
      </c>
      <c r="G147" s="106" t="s">
        <v>640</v>
      </c>
      <c r="H147" s="106" t="s">
        <v>488</v>
      </c>
      <c r="I147" s="109" t="s">
        <v>564</v>
      </c>
      <c r="J147" s="81"/>
      <c r="K147" s="131"/>
      <c r="L147" s="131"/>
      <c r="M147" s="131">
        <v>1</v>
      </c>
      <c r="N147" s="131"/>
      <c r="O147" s="131"/>
      <c r="P147" s="84" t="s">
        <v>77</v>
      </c>
      <c r="Q147" s="87"/>
      <c r="R147" s="86"/>
      <c r="S147" s="148"/>
      <c r="T147" s="82"/>
      <c r="U147" s="82"/>
      <c r="V147" s="82" t="s">
        <v>119</v>
      </c>
      <c r="W147" s="82" t="s">
        <v>560</v>
      </c>
    </row>
    <row r="148" spans="1:23" hidden="1">
      <c r="A148" s="79" t="s">
        <v>61</v>
      </c>
      <c r="B148" s="79" t="s">
        <v>496</v>
      </c>
      <c r="C148" s="79" t="s">
        <v>497</v>
      </c>
      <c r="D148" s="123" t="s">
        <v>498</v>
      </c>
      <c r="E148" s="83" t="s">
        <v>65</v>
      </c>
      <c r="F148" s="85" t="s">
        <v>77</v>
      </c>
      <c r="G148" s="106" t="s">
        <v>640</v>
      </c>
      <c r="H148" s="106" t="s">
        <v>492</v>
      </c>
      <c r="I148" s="109" t="s">
        <v>492</v>
      </c>
      <c r="J148" s="81"/>
      <c r="K148" s="131"/>
      <c r="L148" s="131"/>
      <c r="M148" s="131">
        <v>1</v>
      </c>
      <c r="N148" s="131"/>
      <c r="O148" s="131"/>
      <c r="P148" s="84" t="s">
        <v>77</v>
      </c>
      <c r="Q148" s="87"/>
      <c r="R148" s="86"/>
      <c r="S148" s="148"/>
      <c r="T148" s="82"/>
      <c r="U148" s="82"/>
      <c r="V148" s="82" t="s">
        <v>119</v>
      </c>
      <c r="W148" s="82" t="s">
        <v>164</v>
      </c>
    </row>
    <row r="149" spans="1:23" hidden="1">
      <c r="A149" s="79" t="s">
        <v>61</v>
      </c>
      <c r="B149" s="79" t="s">
        <v>565</v>
      </c>
      <c r="C149" s="79" t="s">
        <v>566</v>
      </c>
      <c r="D149" s="123" t="s">
        <v>567</v>
      </c>
      <c r="E149" s="83" t="s">
        <v>65</v>
      </c>
      <c r="F149" s="85" t="s">
        <v>77</v>
      </c>
      <c r="G149" s="106" t="s">
        <v>640</v>
      </c>
      <c r="H149" s="106" t="s">
        <v>564</v>
      </c>
      <c r="I149" s="109" t="s">
        <v>564</v>
      </c>
      <c r="J149" s="81"/>
      <c r="K149" s="131"/>
      <c r="L149" s="131"/>
      <c r="M149" s="131">
        <v>1</v>
      </c>
      <c r="N149" s="131"/>
      <c r="O149" s="131"/>
      <c r="P149" s="84" t="s">
        <v>77</v>
      </c>
      <c r="Q149" s="87"/>
      <c r="R149" s="86"/>
      <c r="S149" s="148"/>
      <c r="T149" s="82"/>
      <c r="U149" s="82"/>
      <c r="V149" s="82" t="s">
        <v>119</v>
      </c>
      <c r="W149" s="82" t="s">
        <v>369</v>
      </c>
    </row>
    <row r="150" spans="1:23" hidden="1">
      <c r="A150" s="79" t="s">
        <v>61</v>
      </c>
      <c r="B150" s="114" t="s">
        <v>579</v>
      </c>
      <c r="C150" s="114" t="s">
        <v>580</v>
      </c>
      <c r="D150" s="80" t="s">
        <v>581</v>
      </c>
      <c r="E150" s="83" t="s">
        <v>65</v>
      </c>
      <c r="F150" s="85" t="s">
        <v>66</v>
      </c>
      <c r="G150" s="106" t="s">
        <v>640</v>
      </c>
      <c r="H150" s="106" t="s">
        <v>492</v>
      </c>
      <c r="I150" s="109" t="s">
        <v>492</v>
      </c>
      <c r="J150" s="139"/>
      <c r="K150" s="131"/>
      <c r="L150" s="131"/>
      <c r="M150" s="131">
        <v>1</v>
      </c>
      <c r="N150" s="131"/>
      <c r="O150" s="131"/>
      <c r="P150" s="84" t="s">
        <v>66</v>
      </c>
      <c r="Q150" s="87"/>
      <c r="R150" s="86"/>
      <c r="S150" s="148"/>
      <c r="T150" s="82"/>
      <c r="U150" s="82"/>
      <c r="V150" s="82" t="s">
        <v>119</v>
      </c>
      <c r="W150" s="82" t="s">
        <v>205</v>
      </c>
    </row>
    <row r="151" spans="1:23" hidden="1">
      <c r="A151" s="79" t="s">
        <v>61</v>
      </c>
      <c r="B151" s="79" t="s">
        <v>542</v>
      </c>
      <c r="C151" s="79" t="s">
        <v>543</v>
      </c>
      <c r="D151" s="195" t="s">
        <v>544</v>
      </c>
      <c r="E151" s="83" t="s">
        <v>65</v>
      </c>
      <c r="F151" s="85" t="s">
        <v>77</v>
      </c>
      <c r="G151" s="106" t="s">
        <v>640</v>
      </c>
      <c r="H151" s="106" t="s">
        <v>488</v>
      </c>
      <c r="I151" s="109" t="s">
        <v>488</v>
      </c>
      <c r="J151" s="81"/>
      <c r="K151" s="131"/>
      <c r="L151" s="131"/>
      <c r="M151" s="131">
        <v>1.4</v>
      </c>
      <c r="N151" s="131"/>
      <c r="O151" s="131"/>
      <c r="P151" s="84" t="s">
        <v>77</v>
      </c>
      <c r="Q151" s="87"/>
      <c r="R151" s="86"/>
      <c r="S151" s="148"/>
      <c r="T151" s="82"/>
      <c r="U151" s="82"/>
      <c r="V151" s="82" t="s">
        <v>119</v>
      </c>
      <c r="W151" s="82" t="s">
        <v>205</v>
      </c>
    </row>
    <row r="152" spans="1:23" hidden="1">
      <c r="A152" s="79" t="s">
        <v>61</v>
      </c>
      <c r="B152" s="79" t="s">
        <v>561</v>
      </c>
      <c r="C152" s="79" t="s">
        <v>562</v>
      </c>
      <c r="D152" s="196" t="s">
        <v>563</v>
      </c>
      <c r="E152" s="83" t="s">
        <v>65</v>
      </c>
      <c r="F152" s="85" t="s">
        <v>66</v>
      </c>
      <c r="G152" s="106" t="s">
        <v>640</v>
      </c>
      <c r="H152" s="106" t="s">
        <v>564</v>
      </c>
      <c r="I152" s="109" t="s">
        <v>564</v>
      </c>
      <c r="J152" s="81"/>
      <c r="K152" s="131"/>
      <c r="L152" s="131"/>
      <c r="M152" s="131">
        <v>1.4</v>
      </c>
      <c r="N152" s="131"/>
      <c r="O152" s="131"/>
      <c r="P152" s="84" t="s">
        <v>66</v>
      </c>
      <c r="Q152" s="87"/>
      <c r="R152" s="86"/>
      <c r="S152" s="148"/>
      <c r="T152" s="82"/>
      <c r="U152" s="82"/>
      <c r="V152" s="82" t="s">
        <v>119</v>
      </c>
      <c r="W152" s="82" t="s">
        <v>369</v>
      </c>
    </row>
    <row r="153" spans="1:23" hidden="1">
      <c r="A153" s="79" t="s">
        <v>61</v>
      </c>
      <c r="B153" s="79" t="s">
        <v>730</v>
      </c>
      <c r="C153" s="79" t="s">
        <v>731</v>
      </c>
      <c r="D153" s="245" t="s">
        <v>732</v>
      </c>
      <c r="E153" s="83" t="s">
        <v>65</v>
      </c>
      <c r="F153" s="85" t="s">
        <v>77</v>
      </c>
      <c r="G153" s="106" t="s">
        <v>640</v>
      </c>
      <c r="H153" s="201" t="s">
        <v>492</v>
      </c>
      <c r="I153" s="180" t="s">
        <v>492</v>
      </c>
      <c r="J153" s="81" t="s">
        <v>3</v>
      </c>
      <c r="K153" s="131"/>
      <c r="L153" s="131"/>
      <c r="M153" s="131" t="e">
        <v>#N/A</v>
      </c>
      <c r="N153" s="131"/>
      <c r="O153" s="131"/>
      <c r="P153" s="84" t="s">
        <v>77</v>
      </c>
      <c r="Q153" s="87">
        <v>46090</v>
      </c>
      <c r="R153" s="86"/>
      <c r="S153" s="148"/>
      <c r="T153" s="82"/>
      <c r="U153" s="82"/>
      <c r="V153" s="82" t="s">
        <v>119</v>
      </c>
      <c r="W153" s="82" t="s">
        <v>205</v>
      </c>
    </row>
    <row r="154" spans="1:23" hidden="1">
      <c r="A154" s="79" t="s">
        <v>61</v>
      </c>
      <c r="B154" s="113" t="s">
        <v>493</v>
      </c>
      <c r="C154" s="79" t="s">
        <v>494</v>
      </c>
      <c r="D154" s="244" t="s">
        <v>495</v>
      </c>
      <c r="E154" s="83" t="s">
        <v>65</v>
      </c>
      <c r="F154" s="85" t="s">
        <v>77</v>
      </c>
      <c r="G154" s="106" t="s">
        <v>640</v>
      </c>
      <c r="H154" s="201" t="s">
        <v>492</v>
      </c>
      <c r="I154" s="180" t="s">
        <v>492</v>
      </c>
      <c r="J154" s="139"/>
      <c r="K154" s="131"/>
      <c r="L154" s="131"/>
      <c r="M154" s="131" t="e">
        <v>#N/A</v>
      </c>
      <c r="N154" s="131"/>
      <c r="O154" s="131"/>
      <c r="P154" s="84" t="s">
        <v>77</v>
      </c>
      <c r="Q154" s="87"/>
      <c r="R154" s="86"/>
      <c r="S154" s="148"/>
      <c r="T154" s="82"/>
      <c r="U154" s="82"/>
      <c r="V154" s="82" t="s">
        <v>119</v>
      </c>
      <c r="W154" s="82" t="s">
        <v>205</v>
      </c>
    </row>
    <row r="155" spans="1:23" hidden="1">
      <c r="A155" s="79" t="s">
        <v>61</v>
      </c>
      <c r="B155" s="79">
        <v>8</v>
      </c>
      <c r="C155" s="113" t="s">
        <v>530</v>
      </c>
      <c r="D155" s="243" t="s">
        <v>531</v>
      </c>
      <c r="E155" s="83" t="s">
        <v>65</v>
      </c>
      <c r="F155" s="179" t="s">
        <v>77</v>
      </c>
      <c r="G155" s="106" t="s">
        <v>640</v>
      </c>
      <c r="H155" s="246" t="s">
        <v>492</v>
      </c>
      <c r="I155" s="180" t="s">
        <v>492</v>
      </c>
      <c r="J155" s="102" t="s">
        <v>12</v>
      </c>
      <c r="K155" s="131"/>
      <c r="L155" s="131"/>
      <c r="M155" s="131" t="e">
        <v>#N/A</v>
      </c>
      <c r="N155" s="131"/>
      <c r="O155" s="131"/>
      <c r="P155" s="84" t="s">
        <v>77</v>
      </c>
      <c r="Q155" s="87"/>
      <c r="R155" s="86"/>
      <c r="S155" s="148"/>
      <c r="T155" s="82"/>
      <c r="U155" s="82"/>
      <c r="V155" s="82" t="s">
        <v>119</v>
      </c>
      <c r="W155" s="82" t="s">
        <v>205</v>
      </c>
    </row>
    <row r="156" spans="1:23" hidden="1">
      <c r="A156" s="79" t="s">
        <v>61</v>
      </c>
      <c r="B156" s="156">
        <v>4</v>
      </c>
      <c r="C156" s="242" t="s">
        <v>490</v>
      </c>
      <c r="D156" s="243" t="s">
        <v>491</v>
      </c>
      <c r="E156" s="83" t="s">
        <v>65</v>
      </c>
      <c r="F156" s="179" t="s">
        <v>77</v>
      </c>
      <c r="G156" s="79" t="s">
        <v>640</v>
      </c>
      <c r="H156" s="200" t="s">
        <v>492</v>
      </c>
      <c r="I156" s="116" t="s">
        <v>492</v>
      </c>
      <c r="J156" s="102" t="s">
        <v>12</v>
      </c>
      <c r="K156" s="131"/>
      <c r="L156" s="131"/>
      <c r="M156" s="131" t="e">
        <v>#N/A</v>
      </c>
      <c r="N156" s="131"/>
      <c r="O156" s="131"/>
      <c r="P156" s="84" t="s">
        <v>77</v>
      </c>
      <c r="Q156" s="87"/>
      <c r="R156" s="86"/>
      <c r="S156" s="148"/>
      <c r="T156" s="82"/>
      <c r="U156" s="82"/>
      <c r="V156" s="82" t="s">
        <v>119</v>
      </c>
      <c r="W156" s="82" t="s">
        <v>205</v>
      </c>
    </row>
    <row r="157" spans="1:23" hidden="1">
      <c r="A157" s="79" t="s">
        <v>61</v>
      </c>
      <c r="B157" s="79">
        <v>3</v>
      </c>
      <c r="C157" s="113" t="s">
        <v>725</v>
      </c>
      <c r="D157" s="114" t="s">
        <v>726</v>
      </c>
      <c r="E157" s="83" t="s">
        <v>65</v>
      </c>
      <c r="F157" s="179" t="s">
        <v>77</v>
      </c>
      <c r="G157" s="79" t="s">
        <v>640</v>
      </c>
      <c r="H157" s="200" t="s">
        <v>492</v>
      </c>
      <c r="I157" s="116" t="s">
        <v>492</v>
      </c>
      <c r="J157" s="102" t="s">
        <v>12</v>
      </c>
      <c r="K157" s="131"/>
      <c r="L157" s="131"/>
      <c r="M157" s="131" t="e">
        <v>#N/A</v>
      </c>
      <c r="N157" s="131"/>
      <c r="O157" s="131"/>
      <c r="P157" s="84" t="s">
        <v>77</v>
      </c>
      <c r="Q157" s="87"/>
      <c r="R157" s="86"/>
      <c r="S157" s="148"/>
      <c r="T157" s="82"/>
      <c r="U157" s="82"/>
      <c r="V157" s="82" t="s">
        <v>119</v>
      </c>
      <c r="W157" s="82" t="s">
        <v>205</v>
      </c>
    </row>
    <row r="158" spans="1:23" hidden="1">
      <c r="A158" s="79" t="s">
        <v>61</v>
      </c>
      <c r="B158" s="79" t="s">
        <v>484</v>
      </c>
      <c r="C158" s="79" t="s">
        <v>485</v>
      </c>
      <c r="D158" s="80" t="s">
        <v>486</v>
      </c>
      <c r="E158" s="83" t="s">
        <v>65</v>
      </c>
      <c r="F158" s="85" t="s">
        <v>66</v>
      </c>
      <c r="G158" s="79" t="s">
        <v>640</v>
      </c>
      <c r="H158" s="79" t="s">
        <v>488</v>
      </c>
      <c r="I158" s="81" t="s">
        <v>488</v>
      </c>
      <c r="J158" s="102" t="s">
        <v>0</v>
      </c>
      <c r="K158" s="130" t="s">
        <v>0</v>
      </c>
      <c r="L158" s="130"/>
      <c r="M158" s="131" t="e">
        <v>#N/A</v>
      </c>
      <c r="N158" s="130"/>
      <c r="O158" s="130"/>
      <c r="P158" s="84" t="s">
        <v>66</v>
      </c>
      <c r="Q158" s="87"/>
      <c r="R158" s="86"/>
      <c r="S158" s="148"/>
      <c r="T158" s="82"/>
      <c r="U158" s="82"/>
      <c r="V158" s="82" t="s">
        <v>119</v>
      </c>
      <c r="W158" s="82" t="s">
        <v>205</v>
      </c>
    </row>
  </sheetData>
  <sheetProtection selectLockedCells="1"/>
  <conditionalFormatting sqref="B127:B129 B1:B125 B142 B144 B146:B155 B157:B1048576">
    <cfRule type="duplicateValues" dxfId="23" priority="7"/>
  </conditionalFormatting>
  <conditionalFormatting sqref="C2:C14 C16:C22 C25:C67 C69:C99 C103:C125 C127:C155">
    <cfRule type="duplicateValues" dxfId="22" priority="8"/>
  </conditionalFormatting>
  <conditionalFormatting sqref="C157">
    <cfRule type="duplicateValues" dxfId="21" priority="1"/>
  </conditionalFormatting>
  <conditionalFormatting sqref="D1:D158">
    <cfRule type="duplicateValues" dxfId="20" priority="9"/>
  </conditionalFormatting>
  <conditionalFormatting sqref="D1:D1048576">
    <cfRule type="duplicateValues" dxfId="19" priority="2"/>
    <cfRule type="duplicateValues" dxfId="18" priority="5"/>
    <cfRule type="duplicateValues" dxfId="17" priority="6"/>
  </conditionalFormatting>
  <conditionalFormatting sqref="J1:O1048576">
    <cfRule type="cellIs" dxfId="16" priority="4" operator="equal">
      <formula>"Desligado"</formula>
    </cfRule>
  </conditionalFormatting>
  <conditionalFormatting sqref="L2:O158">
    <cfRule type="cellIs" dxfId="15" priority="3" operator="equal">
      <formula>"Baixa"</formula>
    </cfRule>
  </conditionalFormatting>
  <dataValidations count="2">
    <dataValidation type="list" allowBlank="1" showInputMessage="1" showErrorMessage="1" sqref="L2:L158" xr:uid="{C9E70688-6DB8-4B31-9AE9-6E1A9508AADB}">
      <formula1>"Baixa"</formula1>
    </dataValidation>
    <dataValidation type="list" allowBlank="1" showInputMessage="1" showErrorMessage="1" sqref="N2:N158" xr:uid="{6C81C906-615A-4D91-9E85-089CB0C43B03}"/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&amp;L_x000D_&amp;1#&amp;"Aptos"&amp;10&amp;K000000 Uso Corporativo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F37A3E-C195-4B55-8416-1400FFDCD1D4}">
          <x14:formula1>
            <xm:f>'Lista Pendencia'!$A$1:$A$21</xm:f>
          </x14:formula1>
          <xm:sqref>J2:K158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6C4BE-18DE-4770-9553-F0C763ECC8A7}">
  <dimension ref="A1:I166"/>
  <sheetViews>
    <sheetView showGridLines="0" workbookViewId="0">
      <selection activeCell="F1" sqref="F1:F1048576"/>
    </sheetView>
  </sheetViews>
  <sheetFormatPr defaultRowHeight="15"/>
  <cols>
    <col min="1" max="1" width="7" bestFit="1" customWidth="1"/>
    <col min="2" max="2" width="12.7109375" customWidth="1"/>
    <col min="3" max="3" width="12.28515625" customWidth="1"/>
    <col min="4" max="4" width="28.7109375" bestFit="1" customWidth="1"/>
    <col min="5" max="5" width="28.5703125" customWidth="1"/>
    <col min="6" max="6" width="17.7109375" customWidth="1"/>
    <col min="7" max="7" width="21.42578125" customWidth="1"/>
    <col min="8" max="8" width="16" bestFit="1" customWidth="1"/>
    <col min="9" max="9" width="19" customWidth="1"/>
  </cols>
  <sheetData>
    <row r="1" spans="1:9">
      <c r="A1" s="92" t="s">
        <v>38</v>
      </c>
      <c r="B1" s="92" t="s">
        <v>39</v>
      </c>
      <c r="C1" s="92" t="s">
        <v>40</v>
      </c>
      <c r="D1" s="92" t="s">
        <v>41</v>
      </c>
      <c r="E1" s="92" t="s">
        <v>44</v>
      </c>
      <c r="F1" s="92" t="s">
        <v>45</v>
      </c>
      <c r="G1" s="92" t="s">
        <v>885</v>
      </c>
      <c r="H1" s="78" t="s">
        <v>56</v>
      </c>
      <c r="I1" s="78" t="s">
        <v>57</v>
      </c>
    </row>
    <row r="2" spans="1:9">
      <c r="A2" s="79" t="s">
        <v>61</v>
      </c>
      <c r="B2" s="113" t="s">
        <v>493</v>
      </c>
      <c r="C2" s="79" t="s">
        <v>494</v>
      </c>
      <c r="D2" s="114" t="s">
        <v>495</v>
      </c>
      <c r="E2" s="79" t="s">
        <v>640</v>
      </c>
      <c r="F2" s="79" t="s">
        <v>492</v>
      </c>
      <c r="G2" s="79"/>
      <c r="H2" s="82" t="s">
        <v>119</v>
      </c>
      <c r="I2" s="82" t="s">
        <v>205</v>
      </c>
    </row>
    <row r="3" spans="1:9">
      <c r="A3" s="79" t="s">
        <v>61</v>
      </c>
      <c r="B3" s="79" t="s">
        <v>263</v>
      </c>
      <c r="C3" s="79" t="s">
        <v>264</v>
      </c>
      <c r="D3" s="80" t="s">
        <v>265</v>
      </c>
      <c r="E3" s="79" t="s">
        <v>266</v>
      </c>
      <c r="F3" s="79" t="s">
        <v>267</v>
      </c>
      <c r="G3" s="79"/>
      <c r="H3" s="82" t="s">
        <v>119</v>
      </c>
      <c r="I3" s="82" t="s">
        <v>269</v>
      </c>
    </row>
    <row r="4" spans="1:9">
      <c r="A4" s="79" t="s">
        <v>61</v>
      </c>
      <c r="B4" s="232">
        <v>2</v>
      </c>
      <c r="C4" s="113" t="s">
        <v>138</v>
      </c>
      <c r="D4" s="114" t="s">
        <v>139</v>
      </c>
      <c r="E4" s="79" t="s">
        <v>117</v>
      </c>
      <c r="F4" s="202" t="s">
        <v>137</v>
      </c>
      <c r="G4" s="202"/>
      <c r="H4" s="82" t="s">
        <v>119</v>
      </c>
      <c r="I4" s="82" t="s">
        <v>120</v>
      </c>
    </row>
    <row r="5" spans="1:9">
      <c r="A5" s="79" t="s">
        <v>61</v>
      </c>
      <c r="B5" s="79" t="s">
        <v>181</v>
      </c>
      <c r="C5" s="79" t="s">
        <v>182</v>
      </c>
      <c r="D5" s="80" t="s">
        <v>183</v>
      </c>
      <c r="E5" s="79" t="s">
        <v>117</v>
      </c>
      <c r="F5" s="79" t="s">
        <v>179</v>
      </c>
      <c r="G5" s="79"/>
      <c r="H5" s="82" t="s">
        <v>119</v>
      </c>
      <c r="I5" s="82" t="s">
        <v>184</v>
      </c>
    </row>
    <row r="6" spans="1:9">
      <c r="A6" s="79" t="s">
        <v>61</v>
      </c>
      <c r="B6" s="79" t="s">
        <v>253</v>
      </c>
      <c r="C6" s="79" t="s">
        <v>254</v>
      </c>
      <c r="D6" s="80" t="s">
        <v>255</v>
      </c>
      <c r="E6" s="79" t="s">
        <v>203</v>
      </c>
      <c r="F6" s="79" t="s">
        <v>204</v>
      </c>
      <c r="G6" s="79"/>
      <c r="H6" s="82" t="s">
        <v>70</v>
      </c>
      <c r="I6" s="82" t="s">
        <v>209</v>
      </c>
    </row>
    <row r="7" spans="1:9">
      <c r="A7" s="79" t="s">
        <v>61</v>
      </c>
      <c r="B7" s="79" t="s">
        <v>257</v>
      </c>
      <c r="C7" s="79" t="s">
        <v>258</v>
      </c>
      <c r="D7" s="80" t="s">
        <v>259</v>
      </c>
      <c r="E7" s="79" t="s">
        <v>203</v>
      </c>
      <c r="F7" s="79" t="s">
        <v>204</v>
      </c>
      <c r="G7" s="79"/>
      <c r="H7" s="82" t="s">
        <v>70</v>
      </c>
      <c r="I7" s="82" t="s">
        <v>209</v>
      </c>
    </row>
    <row r="8" spans="1:9">
      <c r="A8" s="79" t="s">
        <v>61</v>
      </c>
      <c r="B8" s="79" t="s">
        <v>85</v>
      </c>
      <c r="C8" s="79" t="s">
        <v>86</v>
      </c>
      <c r="D8" s="80" t="s">
        <v>87</v>
      </c>
      <c r="E8" s="79" t="s">
        <v>67</v>
      </c>
      <c r="F8" s="79" t="s">
        <v>78</v>
      </c>
      <c r="G8" s="79"/>
      <c r="H8" s="82" t="s">
        <v>70</v>
      </c>
      <c r="I8" s="82" t="s">
        <v>79</v>
      </c>
    </row>
    <row r="9" spans="1:9">
      <c r="A9" s="79" t="s">
        <v>61</v>
      </c>
      <c r="B9" s="79" t="s">
        <v>333</v>
      </c>
      <c r="C9" s="79" t="s">
        <v>334</v>
      </c>
      <c r="D9" s="80" t="s">
        <v>335</v>
      </c>
      <c r="E9" s="79" t="s">
        <v>317</v>
      </c>
      <c r="F9" s="79" t="s">
        <v>336</v>
      </c>
      <c r="G9" s="79"/>
      <c r="H9" s="82" t="s">
        <v>119</v>
      </c>
      <c r="I9" s="82" t="s">
        <v>124</v>
      </c>
    </row>
    <row r="10" spans="1:9">
      <c r="A10" s="79" t="s">
        <v>61</v>
      </c>
      <c r="B10" s="79" t="s">
        <v>388</v>
      </c>
      <c r="C10" s="79" t="s">
        <v>389</v>
      </c>
      <c r="D10" s="80" t="s">
        <v>390</v>
      </c>
      <c r="E10" s="79" t="s">
        <v>363</v>
      </c>
      <c r="F10" s="79" t="s">
        <v>364</v>
      </c>
      <c r="G10" s="79"/>
      <c r="H10" s="82" t="s">
        <v>70</v>
      </c>
      <c r="I10" s="82" t="s">
        <v>391</v>
      </c>
    </row>
    <row r="11" spans="1:9">
      <c r="A11" s="79" t="s">
        <v>61</v>
      </c>
      <c r="B11" s="79" t="s">
        <v>496</v>
      </c>
      <c r="C11" s="79" t="s">
        <v>497</v>
      </c>
      <c r="D11" s="80" t="s">
        <v>498</v>
      </c>
      <c r="E11" s="79" t="s">
        <v>640</v>
      </c>
      <c r="F11" s="79" t="s">
        <v>492</v>
      </c>
      <c r="G11" s="79"/>
      <c r="H11" s="82" t="s">
        <v>119</v>
      </c>
      <c r="I11" s="82" t="s">
        <v>164</v>
      </c>
    </row>
    <row r="12" spans="1:9">
      <c r="A12" s="79" t="s">
        <v>61</v>
      </c>
      <c r="B12" s="79" t="s">
        <v>339</v>
      </c>
      <c r="C12" s="79" t="s">
        <v>340</v>
      </c>
      <c r="D12" s="80" t="s">
        <v>341</v>
      </c>
      <c r="E12" s="79" t="s">
        <v>317</v>
      </c>
      <c r="F12" s="79" t="s">
        <v>336</v>
      </c>
      <c r="G12" s="79"/>
      <c r="H12" s="82" t="s">
        <v>119</v>
      </c>
      <c r="I12" s="82" t="s">
        <v>124</v>
      </c>
    </row>
    <row r="13" spans="1:9">
      <c r="A13" s="79" t="s">
        <v>61</v>
      </c>
      <c r="B13" s="79" t="s">
        <v>591</v>
      </c>
      <c r="C13" s="79" t="s">
        <v>592</v>
      </c>
      <c r="D13" s="80" t="s">
        <v>593</v>
      </c>
      <c r="E13" s="79" t="s">
        <v>640</v>
      </c>
      <c r="F13" s="79" t="s">
        <v>488</v>
      </c>
      <c r="G13" s="79"/>
      <c r="H13" s="82" t="s">
        <v>119</v>
      </c>
      <c r="I13" s="82" t="s">
        <v>205</v>
      </c>
    </row>
    <row r="14" spans="1:9">
      <c r="A14" s="79" t="s">
        <v>61</v>
      </c>
      <c r="B14" s="79" t="s">
        <v>101</v>
      </c>
      <c r="C14" s="79" t="s">
        <v>102</v>
      </c>
      <c r="D14" s="80" t="s">
        <v>103</v>
      </c>
      <c r="E14" s="79" t="s">
        <v>67</v>
      </c>
      <c r="F14" s="79" t="s">
        <v>93</v>
      </c>
      <c r="G14" s="79"/>
      <c r="H14" s="82" t="s">
        <v>70</v>
      </c>
      <c r="I14" s="82" t="s">
        <v>104</v>
      </c>
    </row>
    <row r="15" spans="1:9">
      <c r="A15" s="79" t="s">
        <v>61</v>
      </c>
      <c r="B15" s="113" t="s">
        <v>489</v>
      </c>
      <c r="C15" s="259" t="s">
        <v>490</v>
      </c>
      <c r="D15" s="114" t="s">
        <v>491</v>
      </c>
      <c r="E15" s="79" t="s">
        <v>640</v>
      </c>
      <c r="F15" s="79" t="s">
        <v>492</v>
      </c>
      <c r="G15" s="79"/>
      <c r="H15" s="82" t="s">
        <v>119</v>
      </c>
      <c r="I15" s="82" t="s">
        <v>205</v>
      </c>
    </row>
    <row r="16" spans="1:9">
      <c r="A16" s="79" t="s">
        <v>61</v>
      </c>
      <c r="B16" s="79" t="s">
        <v>499</v>
      </c>
      <c r="C16" s="79" t="s">
        <v>500</v>
      </c>
      <c r="D16" s="80" t="s">
        <v>501</v>
      </c>
      <c r="E16" s="79" t="s">
        <v>640</v>
      </c>
      <c r="F16" s="79" t="s">
        <v>492</v>
      </c>
      <c r="G16" s="79"/>
      <c r="H16" s="82" t="s">
        <v>119</v>
      </c>
      <c r="I16" s="82" t="s">
        <v>205</v>
      </c>
    </row>
    <row r="17" spans="1:9">
      <c r="A17" s="79" t="s">
        <v>61</v>
      </c>
      <c r="B17" s="79" t="s">
        <v>200</v>
      </c>
      <c r="C17" s="79" t="s">
        <v>201</v>
      </c>
      <c r="D17" s="80" t="s">
        <v>202</v>
      </c>
      <c r="E17" s="79" t="s">
        <v>203</v>
      </c>
      <c r="F17" s="79" t="s">
        <v>204</v>
      </c>
      <c r="G17" s="79"/>
      <c r="H17" s="82" t="s">
        <v>70</v>
      </c>
      <c r="I17" s="82" t="s">
        <v>205</v>
      </c>
    </row>
    <row r="18" spans="1:9">
      <c r="A18" s="79" t="s">
        <v>61</v>
      </c>
      <c r="B18" s="79" t="s">
        <v>474</v>
      </c>
      <c r="C18" s="79" t="s">
        <v>475</v>
      </c>
      <c r="D18" s="80" t="s">
        <v>476</v>
      </c>
      <c r="E18" s="79" t="s">
        <v>414</v>
      </c>
      <c r="F18" s="79" t="s">
        <v>415</v>
      </c>
      <c r="G18" s="79"/>
      <c r="H18" s="82" t="s">
        <v>70</v>
      </c>
      <c r="I18" s="82" t="s">
        <v>205</v>
      </c>
    </row>
    <row r="19" spans="1:9">
      <c r="A19" s="79" t="s">
        <v>61</v>
      </c>
      <c r="B19" s="79" t="s">
        <v>210</v>
      </c>
      <c r="C19" s="79" t="s">
        <v>211</v>
      </c>
      <c r="D19" s="80" t="s">
        <v>212</v>
      </c>
      <c r="E19" s="79" t="s">
        <v>203</v>
      </c>
      <c r="F19" s="79" t="s">
        <v>204</v>
      </c>
      <c r="G19" s="79"/>
      <c r="H19" s="82" t="s">
        <v>70</v>
      </c>
      <c r="I19" s="82" t="s">
        <v>209</v>
      </c>
    </row>
    <row r="20" spans="1:9">
      <c r="A20" s="79" t="s">
        <v>61</v>
      </c>
      <c r="B20" s="79" t="s">
        <v>213</v>
      </c>
      <c r="C20" s="79" t="s">
        <v>214</v>
      </c>
      <c r="D20" s="114" t="s">
        <v>215</v>
      </c>
      <c r="E20" s="79" t="s">
        <v>203</v>
      </c>
      <c r="F20" s="203" t="s">
        <v>204</v>
      </c>
      <c r="G20" s="203"/>
      <c r="H20" s="82" t="s">
        <v>70</v>
      </c>
      <c r="I20" s="82" t="s">
        <v>209</v>
      </c>
    </row>
    <row r="21" spans="1:9">
      <c r="A21" s="79" t="s">
        <v>61</v>
      </c>
      <c r="B21" s="79" t="s">
        <v>502</v>
      </c>
      <c r="C21" s="79" t="s">
        <v>503</v>
      </c>
      <c r="D21" s="80" t="s">
        <v>504</v>
      </c>
      <c r="E21" s="79" t="s">
        <v>640</v>
      </c>
      <c r="F21" s="79" t="s">
        <v>492</v>
      </c>
      <c r="G21" s="79"/>
      <c r="H21" s="82" t="s">
        <v>119</v>
      </c>
      <c r="I21" s="82" t="s">
        <v>205</v>
      </c>
    </row>
    <row r="22" spans="1:9">
      <c r="A22" s="79" t="s">
        <v>61</v>
      </c>
      <c r="B22" s="79" t="s">
        <v>561</v>
      </c>
      <c r="C22" s="79" t="s">
        <v>562</v>
      </c>
      <c r="D22" s="80" t="s">
        <v>563</v>
      </c>
      <c r="E22" s="79" t="s">
        <v>640</v>
      </c>
      <c r="F22" s="79" t="s">
        <v>564</v>
      </c>
      <c r="G22" s="79"/>
      <c r="H22" s="82" t="s">
        <v>119</v>
      </c>
      <c r="I22" s="82" t="s">
        <v>369</v>
      </c>
    </row>
    <row r="23" spans="1:9">
      <c r="A23" s="79" t="s">
        <v>61</v>
      </c>
      <c r="B23" s="79" t="s">
        <v>568</v>
      </c>
      <c r="C23" s="156" t="s">
        <v>569</v>
      </c>
      <c r="D23" s="80" t="s">
        <v>570</v>
      </c>
      <c r="E23" s="79" t="s">
        <v>640</v>
      </c>
      <c r="F23" s="79" t="s">
        <v>488</v>
      </c>
      <c r="G23" s="79"/>
      <c r="H23" s="82" t="s">
        <v>119</v>
      </c>
      <c r="I23" s="82" t="s">
        <v>205</v>
      </c>
    </row>
    <row r="24" spans="1:9">
      <c r="A24" s="79" t="s">
        <v>61</v>
      </c>
      <c r="B24" s="79" t="s">
        <v>365</v>
      </c>
      <c r="C24" s="156" t="s">
        <v>366</v>
      </c>
      <c r="D24" s="80" t="s">
        <v>367</v>
      </c>
      <c r="E24" s="79" t="s">
        <v>363</v>
      </c>
      <c r="F24" s="79" t="s">
        <v>368</v>
      </c>
      <c r="G24" s="79"/>
      <c r="H24" s="82" t="s">
        <v>119</v>
      </c>
      <c r="I24" s="82" t="s">
        <v>369</v>
      </c>
    </row>
    <row r="25" spans="1:9">
      <c r="A25" s="79" t="s">
        <v>61</v>
      </c>
      <c r="B25" s="113" t="s">
        <v>134</v>
      </c>
      <c r="C25" s="79" t="s">
        <v>135</v>
      </c>
      <c r="D25" s="114" t="s">
        <v>136</v>
      </c>
      <c r="E25" s="79" t="s">
        <v>117</v>
      </c>
      <c r="F25" s="203" t="s">
        <v>137</v>
      </c>
      <c r="G25" s="203"/>
      <c r="H25" s="82" t="s">
        <v>119</v>
      </c>
      <c r="I25" s="82" t="s">
        <v>133</v>
      </c>
    </row>
    <row r="26" spans="1:9">
      <c r="A26" s="79" t="s">
        <v>61</v>
      </c>
      <c r="B26" s="79" t="s">
        <v>311</v>
      </c>
      <c r="C26" s="79" t="s">
        <v>312</v>
      </c>
      <c r="D26" s="80" t="s">
        <v>313</v>
      </c>
      <c r="E26" s="79" t="s">
        <v>266</v>
      </c>
      <c r="F26" s="79" t="s">
        <v>267</v>
      </c>
      <c r="G26" s="79"/>
      <c r="H26" s="82" t="s">
        <v>119</v>
      </c>
      <c r="I26" s="82" t="s">
        <v>120</v>
      </c>
    </row>
    <row r="27" spans="1:9">
      <c r="A27" s="79" t="s">
        <v>61</v>
      </c>
      <c r="B27" s="79" t="s">
        <v>283</v>
      </c>
      <c r="C27" s="79" t="s">
        <v>284</v>
      </c>
      <c r="D27" s="80" t="s">
        <v>285</v>
      </c>
      <c r="E27" s="79" t="s">
        <v>266</v>
      </c>
      <c r="F27" s="79" t="s">
        <v>267</v>
      </c>
      <c r="G27" s="79"/>
      <c r="H27" s="82" t="s">
        <v>119</v>
      </c>
      <c r="I27" s="82" t="s">
        <v>269</v>
      </c>
    </row>
    <row r="28" spans="1:9">
      <c r="A28" s="79" t="s">
        <v>61</v>
      </c>
      <c r="B28" s="79" t="s">
        <v>114</v>
      </c>
      <c r="C28" s="79" t="s">
        <v>115</v>
      </c>
      <c r="D28" s="80" t="s">
        <v>116</v>
      </c>
      <c r="E28" s="79" t="s">
        <v>117</v>
      </c>
      <c r="F28" s="79" t="s">
        <v>118</v>
      </c>
      <c r="G28" s="79"/>
      <c r="H28" s="82" t="s">
        <v>119</v>
      </c>
      <c r="I28" s="82" t="s">
        <v>120</v>
      </c>
    </row>
    <row r="29" spans="1:9">
      <c r="A29" s="79" t="s">
        <v>61</v>
      </c>
      <c r="B29" s="80" t="s">
        <v>477</v>
      </c>
      <c r="C29" s="79" t="s">
        <v>478</v>
      </c>
      <c r="D29" s="114" t="s">
        <v>479</v>
      </c>
      <c r="E29" s="79" t="s">
        <v>414</v>
      </c>
      <c r="F29" s="115" t="s">
        <v>415</v>
      </c>
      <c r="G29" s="115"/>
      <c r="H29" s="82" t="s">
        <v>70</v>
      </c>
      <c r="I29" s="82" t="s">
        <v>209</v>
      </c>
    </row>
    <row r="30" spans="1:9">
      <c r="A30" s="79" t="s">
        <v>61</v>
      </c>
      <c r="B30" s="79" t="s">
        <v>582</v>
      </c>
      <c r="C30" s="79" t="s">
        <v>583</v>
      </c>
      <c r="D30" s="80" t="s">
        <v>584</v>
      </c>
      <c r="E30" s="79" t="s">
        <v>640</v>
      </c>
      <c r="F30" s="79" t="s">
        <v>488</v>
      </c>
      <c r="G30" s="79"/>
      <c r="H30" s="82" t="s">
        <v>119</v>
      </c>
      <c r="I30" s="82" t="s">
        <v>205</v>
      </c>
    </row>
    <row r="31" spans="1:9">
      <c r="A31" s="79" t="s">
        <v>61</v>
      </c>
      <c r="B31" s="113" t="s">
        <v>74</v>
      </c>
      <c r="C31" s="79" t="s">
        <v>75</v>
      </c>
      <c r="D31" s="114" t="s">
        <v>76</v>
      </c>
      <c r="E31" s="79" t="s">
        <v>67</v>
      </c>
      <c r="F31" s="115" t="s">
        <v>78</v>
      </c>
      <c r="G31" s="115"/>
      <c r="H31" s="82" t="s">
        <v>70</v>
      </c>
      <c r="I31" s="82" t="s">
        <v>79</v>
      </c>
    </row>
    <row r="32" spans="1:9">
      <c r="A32" s="79" t="s">
        <v>61</v>
      </c>
      <c r="B32" s="257" t="s">
        <v>125</v>
      </c>
      <c r="C32" s="257" t="s">
        <v>126</v>
      </c>
      <c r="D32" s="256" t="s">
        <v>127</v>
      </c>
      <c r="E32" s="79" t="s">
        <v>117</v>
      </c>
      <c r="F32" s="79" t="s">
        <v>118</v>
      </c>
      <c r="G32" s="79"/>
      <c r="H32" s="82" t="s">
        <v>119</v>
      </c>
      <c r="I32" s="82" t="s">
        <v>129</v>
      </c>
    </row>
    <row r="33" spans="1:9">
      <c r="A33" s="79" t="s">
        <v>61</v>
      </c>
      <c r="B33" s="79" t="s">
        <v>108</v>
      </c>
      <c r="C33" s="79" t="s">
        <v>109</v>
      </c>
      <c r="D33" s="80" t="s">
        <v>110</v>
      </c>
      <c r="E33" s="79" t="s">
        <v>67</v>
      </c>
      <c r="F33" s="79" t="s">
        <v>78</v>
      </c>
      <c r="G33" s="79"/>
      <c r="H33" s="82" t="s">
        <v>70</v>
      </c>
      <c r="I33" s="82" t="s">
        <v>79</v>
      </c>
    </row>
    <row r="34" spans="1:9">
      <c r="A34" s="79" t="s">
        <v>61</v>
      </c>
      <c r="B34" s="79" t="s">
        <v>392</v>
      </c>
      <c r="C34" s="79" t="s">
        <v>393</v>
      </c>
      <c r="D34" s="80" t="s">
        <v>394</v>
      </c>
      <c r="E34" s="79" t="s">
        <v>363</v>
      </c>
      <c r="F34" s="79" t="s">
        <v>364</v>
      </c>
      <c r="G34" s="79"/>
      <c r="H34" s="82" t="s">
        <v>70</v>
      </c>
      <c r="I34" s="82" t="s">
        <v>205</v>
      </c>
    </row>
    <row r="35" spans="1:9">
      <c r="A35" s="79" t="s">
        <v>61</v>
      </c>
      <c r="B35" s="79" t="s">
        <v>526</v>
      </c>
      <c r="C35" s="79" t="s">
        <v>527</v>
      </c>
      <c r="D35" s="80" t="s">
        <v>528</v>
      </c>
      <c r="E35" s="79" t="s">
        <v>640</v>
      </c>
      <c r="F35" s="79" t="s">
        <v>488</v>
      </c>
      <c r="G35" s="79"/>
      <c r="H35" s="82" t="s">
        <v>119</v>
      </c>
      <c r="I35" s="82" t="s">
        <v>205</v>
      </c>
    </row>
    <row r="36" spans="1:9">
      <c r="A36" s="79" t="s">
        <v>61</v>
      </c>
      <c r="B36" s="79" t="s">
        <v>545</v>
      </c>
      <c r="C36" s="79" t="s">
        <v>546</v>
      </c>
      <c r="D36" s="80" t="s">
        <v>547</v>
      </c>
      <c r="E36" s="79" t="s">
        <v>640</v>
      </c>
      <c r="F36" s="79" t="s">
        <v>488</v>
      </c>
      <c r="G36" s="79"/>
      <c r="H36" s="82" t="s">
        <v>119</v>
      </c>
      <c r="I36" s="82" t="s">
        <v>205</v>
      </c>
    </row>
    <row r="37" spans="1:9">
      <c r="A37" s="79" t="s">
        <v>61</v>
      </c>
      <c r="B37" s="79" t="s">
        <v>286</v>
      </c>
      <c r="C37" s="79" t="s">
        <v>287</v>
      </c>
      <c r="D37" s="80" t="s">
        <v>288</v>
      </c>
      <c r="E37" s="79" t="s">
        <v>266</v>
      </c>
      <c r="F37" s="79" t="s">
        <v>267</v>
      </c>
      <c r="G37" s="79"/>
      <c r="H37" s="82" t="s">
        <v>119</v>
      </c>
      <c r="I37" s="82" t="s">
        <v>269</v>
      </c>
    </row>
    <row r="38" spans="1:9">
      <c r="A38" s="79" t="s">
        <v>61</v>
      </c>
      <c r="B38" s="79" t="s">
        <v>304</v>
      </c>
      <c r="C38" s="79" t="s">
        <v>305</v>
      </c>
      <c r="D38" s="80" t="s">
        <v>306</v>
      </c>
      <c r="E38" s="79" t="s">
        <v>266</v>
      </c>
      <c r="F38" s="79" t="s">
        <v>273</v>
      </c>
      <c r="G38" s="79"/>
      <c r="H38" s="82" t="s">
        <v>70</v>
      </c>
      <c r="I38" s="82" t="s">
        <v>269</v>
      </c>
    </row>
    <row r="39" spans="1:9">
      <c r="A39" s="79" t="s">
        <v>61</v>
      </c>
      <c r="B39" s="79" t="s">
        <v>505</v>
      </c>
      <c r="C39" s="79" t="s">
        <v>506</v>
      </c>
      <c r="D39" s="80" t="s">
        <v>507</v>
      </c>
      <c r="E39" s="79" t="s">
        <v>640</v>
      </c>
      <c r="F39" s="79" t="s">
        <v>492</v>
      </c>
      <c r="G39" s="79"/>
      <c r="H39" s="82" t="s">
        <v>119</v>
      </c>
      <c r="I39" s="82" t="s">
        <v>205</v>
      </c>
    </row>
    <row r="40" spans="1:9">
      <c r="A40" s="79" t="s">
        <v>61</v>
      </c>
      <c r="B40" s="79" t="s">
        <v>425</v>
      </c>
      <c r="C40" s="79" t="s">
        <v>426</v>
      </c>
      <c r="D40" s="114" t="s">
        <v>427</v>
      </c>
      <c r="E40" s="79" t="s">
        <v>414</v>
      </c>
      <c r="F40" s="115" t="s">
        <v>415</v>
      </c>
      <c r="G40" s="115"/>
      <c r="H40" s="82" t="s">
        <v>70</v>
      </c>
      <c r="I40" s="82" t="s">
        <v>209</v>
      </c>
    </row>
    <row r="41" spans="1:9">
      <c r="A41" s="79" t="s">
        <v>61</v>
      </c>
      <c r="B41" s="79" t="s">
        <v>428</v>
      </c>
      <c r="C41" s="79" t="s">
        <v>429</v>
      </c>
      <c r="D41" s="80" t="s">
        <v>430</v>
      </c>
      <c r="E41" s="79" t="s">
        <v>414</v>
      </c>
      <c r="F41" s="79" t="s">
        <v>415</v>
      </c>
      <c r="G41" s="79"/>
      <c r="H41" s="82" t="s">
        <v>70</v>
      </c>
      <c r="I41" s="82" t="s">
        <v>209</v>
      </c>
    </row>
    <row r="42" spans="1:9">
      <c r="A42" s="79" t="s">
        <v>61</v>
      </c>
      <c r="B42" s="79" t="s">
        <v>90</v>
      </c>
      <c r="C42" s="79" t="s">
        <v>91</v>
      </c>
      <c r="D42" s="80" t="s">
        <v>92</v>
      </c>
      <c r="E42" s="79" t="s">
        <v>67</v>
      </c>
      <c r="F42" s="79" t="s">
        <v>78</v>
      </c>
      <c r="G42" s="79"/>
      <c r="H42" s="82" t="s">
        <v>70</v>
      </c>
      <c r="I42" s="82" t="s">
        <v>79</v>
      </c>
    </row>
    <row r="43" spans="1:9">
      <c r="A43" s="79" t="s">
        <v>61</v>
      </c>
      <c r="B43" s="113" t="s">
        <v>724</v>
      </c>
      <c r="C43" s="113" t="s">
        <v>725</v>
      </c>
      <c r="D43" s="114" t="s">
        <v>726</v>
      </c>
      <c r="E43" s="79" t="s">
        <v>640</v>
      </c>
      <c r="F43" s="79" t="s">
        <v>488</v>
      </c>
      <c r="G43" s="79"/>
      <c r="H43" s="82" t="s">
        <v>119</v>
      </c>
      <c r="I43" s="82" t="s">
        <v>205</v>
      </c>
    </row>
    <row r="44" spans="1:9">
      <c r="A44" s="79" t="s">
        <v>61</v>
      </c>
      <c r="B44" s="79" t="s">
        <v>548</v>
      </c>
      <c r="C44" s="79" t="s">
        <v>549</v>
      </c>
      <c r="D44" s="80" t="s">
        <v>550</v>
      </c>
      <c r="E44" s="79" t="s">
        <v>640</v>
      </c>
      <c r="F44" s="79" t="s">
        <v>488</v>
      </c>
      <c r="G44" s="79"/>
      <c r="H44" s="82" t="s">
        <v>119</v>
      </c>
      <c r="I44" s="82" t="s">
        <v>205</v>
      </c>
    </row>
    <row r="45" spans="1:9">
      <c r="A45" s="79" t="s">
        <v>61</v>
      </c>
      <c r="B45" s="79" t="s">
        <v>342</v>
      </c>
      <c r="C45" s="79" t="s">
        <v>343</v>
      </c>
      <c r="D45" s="80" t="s">
        <v>344</v>
      </c>
      <c r="E45" s="79" t="s">
        <v>317</v>
      </c>
      <c r="F45" s="79" t="s">
        <v>336</v>
      </c>
      <c r="G45" s="79"/>
      <c r="H45" s="82" t="s">
        <v>119</v>
      </c>
      <c r="I45" s="82" t="s">
        <v>124</v>
      </c>
    </row>
    <row r="46" spans="1:9">
      <c r="A46" s="79" t="s">
        <v>61</v>
      </c>
      <c r="B46" s="79" t="s">
        <v>292</v>
      </c>
      <c r="C46" s="79" t="s">
        <v>293</v>
      </c>
      <c r="D46" s="80" t="s">
        <v>294</v>
      </c>
      <c r="E46" s="79" t="s">
        <v>266</v>
      </c>
      <c r="F46" s="79" t="s">
        <v>267</v>
      </c>
      <c r="G46" s="79"/>
      <c r="H46" s="82" t="s">
        <v>119</v>
      </c>
      <c r="I46" s="82" t="s">
        <v>133</v>
      </c>
    </row>
    <row r="47" spans="1:9">
      <c r="A47" s="79" t="s">
        <v>61</v>
      </c>
      <c r="B47" s="79" t="s">
        <v>571</v>
      </c>
      <c r="C47" s="79" t="s">
        <v>572</v>
      </c>
      <c r="D47" s="80" t="s">
        <v>573</v>
      </c>
      <c r="E47" s="79" t="s">
        <v>640</v>
      </c>
      <c r="F47" s="79" t="s">
        <v>492</v>
      </c>
      <c r="G47" s="79"/>
      <c r="H47" s="82" t="s">
        <v>70</v>
      </c>
      <c r="I47" s="82" t="s">
        <v>205</v>
      </c>
    </row>
    <row r="48" spans="1:9">
      <c r="A48" s="79" t="s">
        <v>61</v>
      </c>
      <c r="B48" s="113" t="s">
        <v>324</v>
      </c>
      <c r="C48" s="79" t="s">
        <v>325</v>
      </c>
      <c r="D48" s="114" t="s">
        <v>326</v>
      </c>
      <c r="E48" s="79" t="s">
        <v>317</v>
      </c>
      <c r="F48" s="115" t="s">
        <v>143</v>
      </c>
      <c r="G48" s="115"/>
      <c r="H48" s="82" t="s">
        <v>119</v>
      </c>
      <c r="I48" s="82" t="s">
        <v>124</v>
      </c>
    </row>
    <row r="49" spans="1:9">
      <c r="A49" s="79" t="s">
        <v>61</v>
      </c>
      <c r="B49" s="79" t="s">
        <v>565</v>
      </c>
      <c r="C49" s="79" t="s">
        <v>566</v>
      </c>
      <c r="D49" s="80" t="s">
        <v>567</v>
      </c>
      <c r="E49" s="79" t="s">
        <v>640</v>
      </c>
      <c r="F49" s="79" t="s">
        <v>564</v>
      </c>
      <c r="G49" s="79"/>
      <c r="H49" s="82" t="s">
        <v>119</v>
      </c>
      <c r="I49" s="82" t="s">
        <v>369</v>
      </c>
    </row>
    <row r="50" spans="1:9">
      <c r="A50" s="79" t="s">
        <v>61</v>
      </c>
      <c r="B50" s="79" t="s">
        <v>185</v>
      </c>
      <c r="C50" s="79" t="s">
        <v>186</v>
      </c>
      <c r="D50" s="80" t="s">
        <v>187</v>
      </c>
      <c r="E50" s="79" t="s">
        <v>117</v>
      </c>
      <c r="F50" s="79" t="s">
        <v>188</v>
      </c>
      <c r="G50" s="79"/>
      <c r="H50" s="82" t="s">
        <v>119</v>
      </c>
      <c r="I50" s="82" t="s">
        <v>164</v>
      </c>
    </row>
    <row r="51" spans="1:9">
      <c r="A51" s="79" t="s">
        <v>61</v>
      </c>
      <c r="B51" s="79" t="s">
        <v>295</v>
      </c>
      <c r="C51" s="79" t="s">
        <v>296</v>
      </c>
      <c r="D51" s="80" t="s">
        <v>297</v>
      </c>
      <c r="E51" s="79" t="s">
        <v>266</v>
      </c>
      <c r="F51" s="79" t="s">
        <v>267</v>
      </c>
      <c r="G51" s="79"/>
      <c r="H51" s="82" t="s">
        <v>119</v>
      </c>
      <c r="I51" s="82" t="s">
        <v>180</v>
      </c>
    </row>
    <row r="52" spans="1:9">
      <c r="A52" s="79" t="s">
        <v>61</v>
      </c>
      <c r="B52" s="113" t="s">
        <v>337</v>
      </c>
      <c r="C52" s="79" t="s">
        <v>337</v>
      </c>
      <c r="D52" s="114" t="s">
        <v>338</v>
      </c>
      <c r="E52" s="79" t="s">
        <v>317</v>
      </c>
      <c r="F52" s="115" t="s">
        <v>336</v>
      </c>
      <c r="G52" s="115"/>
      <c r="H52" s="82" t="s">
        <v>119</v>
      </c>
      <c r="I52" s="82" t="s">
        <v>124</v>
      </c>
    </row>
    <row r="53" spans="1:9">
      <c r="A53" s="79" t="s">
        <v>61</v>
      </c>
      <c r="B53" s="79" t="s">
        <v>62</v>
      </c>
      <c r="C53" s="79" t="s">
        <v>63</v>
      </c>
      <c r="D53" s="80" t="s">
        <v>64</v>
      </c>
      <c r="E53" s="79" t="s">
        <v>67</v>
      </c>
      <c r="F53" s="79" t="s">
        <v>68</v>
      </c>
      <c r="G53" s="79"/>
      <c r="H53" s="82" t="s">
        <v>70</v>
      </c>
      <c r="I53" s="82" t="s">
        <v>71</v>
      </c>
    </row>
    <row r="54" spans="1:9">
      <c r="A54" s="79" t="s">
        <v>61</v>
      </c>
      <c r="B54" s="79" t="s">
        <v>298</v>
      </c>
      <c r="C54" s="79" t="s">
        <v>299</v>
      </c>
      <c r="D54" s="80" t="s">
        <v>300</v>
      </c>
      <c r="E54" s="79" t="s">
        <v>266</v>
      </c>
      <c r="F54" s="79" t="s">
        <v>267</v>
      </c>
      <c r="G54" s="79"/>
      <c r="H54" s="82" t="s">
        <v>119</v>
      </c>
      <c r="I54" s="82" t="s">
        <v>133</v>
      </c>
    </row>
    <row r="55" spans="1:9">
      <c r="A55" s="79" t="s">
        <v>61</v>
      </c>
      <c r="B55" s="79" t="s">
        <v>431</v>
      </c>
      <c r="C55" s="79" t="s">
        <v>432</v>
      </c>
      <c r="D55" s="80" t="s">
        <v>433</v>
      </c>
      <c r="E55" s="79" t="s">
        <v>414</v>
      </c>
      <c r="F55" s="79" t="s">
        <v>415</v>
      </c>
      <c r="G55" s="79"/>
      <c r="H55" s="82" t="s">
        <v>70</v>
      </c>
      <c r="I55" s="82" t="s">
        <v>209</v>
      </c>
    </row>
    <row r="56" spans="1:9">
      <c r="A56" s="79" t="s">
        <v>61</v>
      </c>
      <c r="B56" s="79" t="s">
        <v>130</v>
      </c>
      <c r="C56" s="79" t="s">
        <v>131</v>
      </c>
      <c r="D56" s="80" t="s">
        <v>132</v>
      </c>
      <c r="E56" s="79" t="s">
        <v>117</v>
      </c>
      <c r="F56" s="79" t="s">
        <v>118</v>
      </c>
      <c r="G56" s="79"/>
      <c r="H56" s="82" t="s">
        <v>119</v>
      </c>
      <c r="I56" s="82" t="s">
        <v>133</v>
      </c>
    </row>
    <row r="57" spans="1:9">
      <c r="A57" s="79" t="s">
        <v>61</v>
      </c>
      <c r="B57" s="79" t="s">
        <v>411</v>
      </c>
      <c r="C57" s="79" t="s">
        <v>412</v>
      </c>
      <c r="D57" s="80" t="s">
        <v>413</v>
      </c>
      <c r="E57" s="79" t="s">
        <v>414</v>
      </c>
      <c r="F57" s="79" t="s">
        <v>415</v>
      </c>
      <c r="G57" s="79"/>
      <c r="H57" s="82" t="s">
        <v>70</v>
      </c>
      <c r="I57" s="82" t="s">
        <v>209</v>
      </c>
    </row>
    <row r="58" spans="1:9">
      <c r="A58" s="79" t="s">
        <v>61</v>
      </c>
      <c r="B58" s="79" t="s">
        <v>416</v>
      </c>
      <c r="C58" s="79" t="s">
        <v>417</v>
      </c>
      <c r="D58" s="80" t="s">
        <v>418</v>
      </c>
      <c r="E58" s="79" t="s">
        <v>414</v>
      </c>
      <c r="F58" s="79" t="s">
        <v>415</v>
      </c>
      <c r="G58" s="79"/>
      <c r="H58" s="82" t="s">
        <v>70</v>
      </c>
      <c r="I58" s="82" t="s">
        <v>209</v>
      </c>
    </row>
    <row r="59" spans="1:9">
      <c r="A59" s="79" t="s">
        <v>61</v>
      </c>
      <c r="B59" s="79" t="s">
        <v>395</v>
      </c>
      <c r="C59" s="79" t="s">
        <v>396</v>
      </c>
      <c r="D59" s="80" t="s">
        <v>397</v>
      </c>
      <c r="E59" s="79" t="s">
        <v>363</v>
      </c>
      <c r="F59" s="79" t="s">
        <v>364</v>
      </c>
      <c r="G59" s="79"/>
      <c r="H59" s="82" t="s">
        <v>70</v>
      </c>
      <c r="I59" s="82" t="s">
        <v>79</v>
      </c>
    </row>
    <row r="60" spans="1:9">
      <c r="A60" s="79" t="s">
        <v>61</v>
      </c>
      <c r="B60" s="79" t="s">
        <v>551</v>
      </c>
      <c r="C60" s="79" t="s">
        <v>552</v>
      </c>
      <c r="D60" s="80" t="s">
        <v>553</v>
      </c>
      <c r="E60" s="79" t="s">
        <v>640</v>
      </c>
      <c r="F60" s="79" t="s">
        <v>488</v>
      </c>
      <c r="G60" s="79"/>
      <c r="H60" s="82" t="s">
        <v>119</v>
      </c>
      <c r="I60" s="82" t="s">
        <v>205</v>
      </c>
    </row>
    <row r="61" spans="1:9">
      <c r="A61" s="79" t="s">
        <v>61</v>
      </c>
      <c r="B61" s="79" t="s">
        <v>314</v>
      </c>
      <c r="C61" s="79" t="s">
        <v>315</v>
      </c>
      <c r="D61" s="80" t="s">
        <v>316</v>
      </c>
      <c r="E61" s="79" t="s">
        <v>317</v>
      </c>
      <c r="F61" s="79" t="s">
        <v>143</v>
      </c>
      <c r="G61" s="79"/>
      <c r="H61" s="82" t="s">
        <v>119</v>
      </c>
      <c r="I61" s="82" t="s">
        <v>124</v>
      </c>
    </row>
    <row r="62" spans="1:9">
      <c r="A62" s="79" t="s">
        <v>61</v>
      </c>
      <c r="B62" s="113" t="s">
        <v>398</v>
      </c>
      <c r="C62" s="113" t="s">
        <v>399</v>
      </c>
      <c r="D62" s="114" t="s">
        <v>400</v>
      </c>
      <c r="E62" s="79" t="s">
        <v>363</v>
      </c>
      <c r="F62" s="79" t="s">
        <v>364</v>
      </c>
      <c r="G62" s="79"/>
      <c r="H62" s="82" t="s">
        <v>70</v>
      </c>
      <c r="I62" s="82" t="s">
        <v>79</v>
      </c>
    </row>
    <row r="63" spans="1:9">
      <c r="A63" s="79" t="s">
        <v>61</v>
      </c>
      <c r="B63" s="79" t="s">
        <v>419</v>
      </c>
      <c r="C63" s="79" t="s">
        <v>420</v>
      </c>
      <c r="D63" s="80" t="s">
        <v>421</v>
      </c>
      <c r="E63" s="79" t="s">
        <v>414</v>
      </c>
      <c r="F63" s="79" t="s">
        <v>415</v>
      </c>
      <c r="G63" s="79"/>
      <c r="H63" s="82" t="s">
        <v>70</v>
      </c>
      <c r="I63" s="82" t="s">
        <v>209</v>
      </c>
    </row>
    <row r="64" spans="1:9">
      <c r="A64" s="79" t="s">
        <v>61</v>
      </c>
      <c r="B64" s="114" t="s">
        <v>579</v>
      </c>
      <c r="C64" s="114" t="s">
        <v>580</v>
      </c>
      <c r="D64" s="80" t="s">
        <v>581</v>
      </c>
      <c r="E64" s="79" t="s">
        <v>640</v>
      </c>
      <c r="F64" s="79" t="s">
        <v>492</v>
      </c>
      <c r="G64" s="79"/>
      <c r="H64" s="82" t="s">
        <v>119</v>
      </c>
      <c r="I64" s="82" t="s">
        <v>205</v>
      </c>
    </row>
    <row r="65" spans="1:9">
      <c r="A65" s="79" t="s">
        <v>61</v>
      </c>
      <c r="B65" s="79" t="s">
        <v>140</v>
      </c>
      <c r="C65" s="79" t="s">
        <v>141</v>
      </c>
      <c r="D65" s="80" t="s">
        <v>142</v>
      </c>
      <c r="E65" s="79" t="s">
        <v>117</v>
      </c>
      <c r="F65" s="79" t="s">
        <v>137</v>
      </c>
      <c r="G65" s="79"/>
      <c r="H65" s="82" t="s">
        <v>119</v>
      </c>
      <c r="I65" s="82" t="s">
        <v>133</v>
      </c>
    </row>
    <row r="66" spans="1:9">
      <c r="A66" s="79" t="s">
        <v>61</v>
      </c>
      <c r="B66" s="113" t="s">
        <v>529</v>
      </c>
      <c r="C66" s="113" t="s">
        <v>530</v>
      </c>
      <c r="D66" s="114" t="s">
        <v>531</v>
      </c>
      <c r="E66" s="79" t="s">
        <v>640</v>
      </c>
      <c r="F66" s="79" t="s">
        <v>488</v>
      </c>
      <c r="G66" s="79"/>
      <c r="H66" s="82" t="s">
        <v>119</v>
      </c>
      <c r="I66" s="82" t="s">
        <v>205</v>
      </c>
    </row>
    <row r="67" spans="1:9">
      <c r="A67" s="79" t="s">
        <v>61</v>
      </c>
      <c r="B67" s="79" t="s">
        <v>197</v>
      </c>
      <c r="C67" s="79" t="s">
        <v>198</v>
      </c>
      <c r="D67" s="80" t="s">
        <v>199</v>
      </c>
      <c r="E67" s="79" t="s">
        <v>117</v>
      </c>
      <c r="F67" s="79" t="s">
        <v>137</v>
      </c>
      <c r="G67" s="79"/>
      <c r="H67" s="82" t="s">
        <v>119</v>
      </c>
      <c r="I67" s="82" t="s">
        <v>124</v>
      </c>
    </row>
    <row r="68" spans="1:9">
      <c r="A68" s="79" t="s">
        <v>61</v>
      </c>
      <c r="B68" s="79" t="s">
        <v>206</v>
      </c>
      <c r="C68" s="156" t="s">
        <v>207</v>
      </c>
      <c r="D68" s="80" t="s">
        <v>208</v>
      </c>
      <c r="E68" s="79" t="s">
        <v>203</v>
      </c>
      <c r="F68" s="79" t="s">
        <v>204</v>
      </c>
      <c r="G68" s="79"/>
      <c r="H68" s="82" t="s">
        <v>70</v>
      </c>
      <c r="I68" s="82" t="s">
        <v>209</v>
      </c>
    </row>
    <row r="69" spans="1:9">
      <c r="A69" s="79" t="s">
        <v>61</v>
      </c>
      <c r="B69" s="79" t="s">
        <v>144</v>
      </c>
      <c r="C69" s="79" t="s">
        <v>145</v>
      </c>
      <c r="D69" s="80" t="s">
        <v>146</v>
      </c>
      <c r="E69" s="79" t="s">
        <v>117</v>
      </c>
      <c r="F69" s="79" t="s">
        <v>137</v>
      </c>
      <c r="G69" s="79"/>
      <c r="H69" s="82" t="s">
        <v>119</v>
      </c>
      <c r="I69" s="82" t="s">
        <v>133</v>
      </c>
    </row>
    <row r="70" spans="1:9">
      <c r="A70" s="79" t="s">
        <v>61</v>
      </c>
      <c r="B70" s="79" t="s">
        <v>730</v>
      </c>
      <c r="C70" s="79" t="s">
        <v>731</v>
      </c>
      <c r="D70" s="114" t="s">
        <v>732</v>
      </c>
      <c r="E70" s="79" t="s">
        <v>640</v>
      </c>
      <c r="F70" s="79" t="s">
        <v>492</v>
      </c>
      <c r="G70" s="79"/>
      <c r="H70" s="82" t="s">
        <v>119</v>
      </c>
      <c r="I70" s="82" t="s">
        <v>205</v>
      </c>
    </row>
    <row r="71" spans="1:9">
      <c r="A71" s="79" t="s">
        <v>61</v>
      </c>
      <c r="B71" s="79" t="s">
        <v>585</v>
      </c>
      <c r="C71" s="79" t="s">
        <v>586</v>
      </c>
      <c r="D71" s="80" t="s">
        <v>587</v>
      </c>
      <c r="E71" s="79" t="s">
        <v>640</v>
      </c>
      <c r="F71" s="79" t="s">
        <v>492</v>
      </c>
      <c r="G71" s="79"/>
      <c r="H71" s="82" t="s">
        <v>119</v>
      </c>
      <c r="I71" s="82" t="s">
        <v>205</v>
      </c>
    </row>
    <row r="72" spans="1:9">
      <c r="A72" s="79" t="s">
        <v>61</v>
      </c>
      <c r="B72" s="79" t="s">
        <v>217</v>
      </c>
      <c r="C72" s="79" t="s">
        <v>218</v>
      </c>
      <c r="D72" s="80" t="s">
        <v>219</v>
      </c>
      <c r="E72" s="79" t="s">
        <v>203</v>
      </c>
      <c r="F72" s="79" t="s">
        <v>204</v>
      </c>
      <c r="G72" s="79"/>
      <c r="H72" s="82" t="s">
        <v>70</v>
      </c>
      <c r="I72" s="82" t="s">
        <v>79</v>
      </c>
    </row>
    <row r="73" spans="1:9">
      <c r="A73" s="79" t="s">
        <v>61</v>
      </c>
      <c r="B73" s="79" t="s">
        <v>222</v>
      </c>
      <c r="C73" s="79" t="s">
        <v>223</v>
      </c>
      <c r="D73" s="80" t="s">
        <v>224</v>
      </c>
      <c r="E73" s="79" t="s">
        <v>203</v>
      </c>
      <c r="F73" s="79" t="s">
        <v>204</v>
      </c>
      <c r="G73" s="79"/>
      <c r="H73" s="82" t="s">
        <v>70</v>
      </c>
      <c r="I73" s="82" t="s">
        <v>209</v>
      </c>
    </row>
    <row r="74" spans="1:9">
      <c r="A74" s="79" t="s">
        <v>61</v>
      </c>
      <c r="B74" s="79" t="s">
        <v>148</v>
      </c>
      <c r="C74" s="79" t="s">
        <v>149</v>
      </c>
      <c r="D74" s="80" t="s">
        <v>150</v>
      </c>
      <c r="E74" s="79" t="s">
        <v>117</v>
      </c>
      <c r="F74" s="79" t="s">
        <v>137</v>
      </c>
      <c r="G74" s="79"/>
      <c r="H74" s="82" t="s">
        <v>119</v>
      </c>
      <c r="I74" s="82" t="s">
        <v>133</v>
      </c>
    </row>
    <row r="75" spans="1:9">
      <c r="A75" s="79" t="s">
        <v>61</v>
      </c>
      <c r="B75" s="79" t="s">
        <v>160</v>
      </c>
      <c r="C75" s="79" t="s">
        <v>161</v>
      </c>
      <c r="D75" s="80" t="s">
        <v>162</v>
      </c>
      <c r="E75" s="79" t="s">
        <v>117</v>
      </c>
      <c r="F75" s="79" t="s">
        <v>163</v>
      </c>
      <c r="G75" s="79"/>
      <c r="H75" s="82" t="s">
        <v>119</v>
      </c>
      <c r="I75" s="82" t="s">
        <v>164</v>
      </c>
    </row>
    <row r="76" spans="1:9">
      <c r="A76" s="79" t="s">
        <v>61</v>
      </c>
      <c r="B76" s="79" t="s">
        <v>748</v>
      </c>
      <c r="C76" s="79" t="s">
        <v>749</v>
      </c>
      <c r="D76" s="80" t="s">
        <v>750</v>
      </c>
      <c r="E76" s="79" t="s">
        <v>203</v>
      </c>
      <c r="F76" s="79" t="s">
        <v>204</v>
      </c>
      <c r="G76" s="79"/>
      <c r="H76" s="82" t="s">
        <v>70</v>
      </c>
      <c r="I76" s="82" t="s">
        <v>209</v>
      </c>
    </row>
    <row r="77" spans="1:9">
      <c r="A77" s="79" t="s">
        <v>61</v>
      </c>
      <c r="B77" s="79" t="s">
        <v>382</v>
      </c>
      <c r="C77" s="79" t="s">
        <v>383</v>
      </c>
      <c r="D77" s="80" t="s">
        <v>384</v>
      </c>
      <c r="E77" s="79" t="s">
        <v>363</v>
      </c>
      <c r="F77" s="79" t="s">
        <v>364</v>
      </c>
      <c r="G77" s="79"/>
      <c r="H77" s="82" t="s">
        <v>70</v>
      </c>
      <c r="I77" s="82" t="s">
        <v>79</v>
      </c>
    </row>
    <row r="78" spans="1:9">
      <c r="A78" s="79" t="s">
        <v>61</v>
      </c>
      <c r="B78" s="79" t="s">
        <v>373</v>
      </c>
      <c r="C78" s="79" t="s">
        <v>374</v>
      </c>
      <c r="D78" s="80" t="s">
        <v>375</v>
      </c>
      <c r="E78" s="79" t="s">
        <v>363</v>
      </c>
      <c r="F78" s="79" t="s">
        <v>368</v>
      </c>
      <c r="G78" s="79"/>
      <c r="H78" s="82" t="s">
        <v>119</v>
      </c>
      <c r="I78" s="82" t="s">
        <v>369</v>
      </c>
    </row>
    <row r="79" spans="1:9">
      <c r="A79" s="79" t="s">
        <v>61</v>
      </c>
      <c r="B79" s="79" t="s">
        <v>95</v>
      </c>
      <c r="C79" s="79" t="s">
        <v>96</v>
      </c>
      <c r="D79" s="80" t="s">
        <v>97</v>
      </c>
      <c r="E79" s="79" t="s">
        <v>67</v>
      </c>
      <c r="F79" s="79" t="s">
        <v>78</v>
      </c>
      <c r="G79" s="79"/>
      <c r="H79" s="82" t="s">
        <v>70</v>
      </c>
      <c r="I79" s="82" t="s">
        <v>79</v>
      </c>
    </row>
    <row r="80" spans="1:9">
      <c r="A80" s="79" t="s">
        <v>61</v>
      </c>
      <c r="B80" s="79" t="s">
        <v>345</v>
      </c>
      <c r="C80" s="79" t="s">
        <v>346</v>
      </c>
      <c r="D80" s="80" t="s">
        <v>347</v>
      </c>
      <c r="E80" s="79" t="s">
        <v>317</v>
      </c>
      <c r="F80" s="79" t="s">
        <v>336</v>
      </c>
      <c r="G80" s="79"/>
      <c r="H80" s="82" t="s">
        <v>119</v>
      </c>
      <c r="I80" s="82" t="s">
        <v>124</v>
      </c>
    </row>
    <row r="81" spans="1:9">
      <c r="A81" s="79" t="s">
        <v>61</v>
      </c>
      <c r="B81" s="79" t="s">
        <v>554</v>
      </c>
      <c r="C81" s="79" t="s">
        <v>555</v>
      </c>
      <c r="D81" s="80" t="s">
        <v>556</v>
      </c>
      <c r="E81" s="79" t="s">
        <v>640</v>
      </c>
      <c r="F81" s="79" t="s">
        <v>488</v>
      </c>
      <c r="G81" s="79"/>
      <c r="H81" s="82" t="s">
        <v>119</v>
      </c>
      <c r="I81" s="82" t="s">
        <v>557</v>
      </c>
    </row>
    <row r="82" spans="1:9">
      <c r="A82" s="79" t="s">
        <v>61</v>
      </c>
      <c r="B82" s="79" t="s">
        <v>533</v>
      </c>
      <c r="C82" s="79" t="s">
        <v>534</v>
      </c>
      <c r="D82" s="80" t="s">
        <v>535</v>
      </c>
      <c r="E82" s="79" t="s">
        <v>640</v>
      </c>
      <c r="F82" s="79" t="s">
        <v>488</v>
      </c>
      <c r="G82" s="79"/>
      <c r="H82" s="82" t="s">
        <v>119</v>
      </c>
      <c r="I82" s="82" t="s">
        <v>205</v>
      </c>
    </row>
    <row r="83" spans="1:9">
      <c r="A83" s="79" t="s">
        <v>61</v>
      </c>
      <c r="B83" s="79" t="s">
        <v>434</v>
      </c>
      <c r="C83" s="79" t="s">
        <v>435</v>
      </c>
      <c r="D83" s="80" t="s">
        <v>436</v>
      </c>
      <c r="E83" s="79" t="s">
        <v>414</v>
      </c>
      <c r="F83" s="79" t="s">
        <v>415</v>
      </c>
      <c r="G83" s="79"/>
      <c r="H83" s="82" t="s">
        <v>70</v>
      </c>
      <c r="I83" s="82" t="s">
        <v>209</v>
      </c>
    </row>
    <row r="84" spans="1:9">
      <c r="A84" s="79" t="s">
        <v>61</v>
      </c>
      <c r="B84" s="79" t="s">
        <v>194</v>
      </c>
      <c r="C84" s="79" t="s">
        <v>195</v>
      </c>
      <c r="D84" s="80" t="s">
        <v>196</v>
      </c>
      <c r="E84" s="79" t="s">
        <v>117</v>
      </c>
      <c r="F84" s="79" t="s">
        <v>163</v>
      </c>
      <c r="G84" s="79"/>
      <c r="H84" s="82" t="s">
        <v>119</v>
      </c>
      <c r="I84" s="82" t="s">
        <v>164</v>
      </c>
    </row>
    <row r="85" spans="1:9">
      <c r="A85" s="79" t="s">
        <v>61</v>
      </c>
      <c r="B85" s="79" t="s">
        <v>176</v>
      </c>
      <c r="C85" s="79" t="s">
        <v>177</v>
      </c>
      <c r="D85" s="80" t="s">
        <v>178</v>
      </c>
      <c r="E85" s="79" t="s">
        <v>117</v>
      </c>
      <c r="F85" s="79" t="s">
        <v>179</v>
      </c>
      <c r="G85" s="79"/>
      <c r="H85" s="82" t="s">
        <v>119</v>
      </c>
      <c r="I85" s="82" t="s">
        <v>180</v>
      </c>
    </row>
    <row r="86" spans="1:9">
      <c r="A86" s="79" t="s">
        <v>61</v>
      </c>
      <c r="B86" s="113" t="s">
        <v>151</v>
      </c>
      <c r="C86" s="113" t="s">
        <v>152</v>
      </c>
      <c r="D86" s="114" t="s">
        <v>153</v>
      </c>
      <c r="E86" s="79" t="s">
        <v>117</v>
      </c>
      <c r="F86" s="202" t="s">
        <v>137</v>
      </c>
      <c r="G86" s="202"/>
      <c r="H86" s="82" t="s">
        <v>119</v>
      </c>
      <c r="I86" s="82" t="s">
        <v>133</v>
      </c>
    </row>
    <row r="87" spans="1:9">
      <c r="A87" s="79" t="s">
        <v>61</v>
      </c>
      <c r="B87" s="79" t="s">
        <v>165</v>
      </c>
      <c r="C87" s="79" t="s">
        <v>166</v>
      </c>
      <c r="D87" s="80" t="s">
        <v>167</v>
      </c>
      <c r="E87" s="79" t="s">
        <v>117</v>
      </c>
      <c r="F87" s="79" t="s">
        <v>163</v>
      </c>
      <c r="G87" s="79"/>
      <c r="H87" s="82" t="s">
        <v>119</v>
      </c>
      <c r="I87" s="82" t="s">
        <v>164</v>
      </c>
    </row>
    <row r="88" spans="1:9">
      <c r="A88" s="79" t="s">
        <v>61</v>
      </c>
      <c r="B88" s="79" t="s">
        <v>270</v>
      </c>
      <c r="C88" s="79" t="s">
        <v>271</v>
      </c>
      <c r="D88" s="80" t="s">
        <v>272</v>
      </c>
      <c r="E88" s="79" t="s">
        <v>266</v>
      </c>
      <c r="F88" s="79" t="s">
        <v>273</v>
      </c>
      <c r="G88" s="79"/>
      <c r="H88" s="82" t="s">
        <v>119</v>
      </c>
      <c r="I88" s="82" t="s">
        <v>269</v>
      </c>
    </row>
    <row r="89" spans="1:9">
      <c r="A89" s="79" t="s">
        <v>61</v>
      </c>
      <c r="B89" s="79" t="s">
        <v>225</v>
      </c>
      <c r="C89" s="79" t="s">
        <v>226</v>
      </c>
      <c r="D89" s="80" t="s">
        <v>227</v>
      </c>
      <c r="E89" s="79" t="s">
        <v>203</v>
      </c>
      <c r="F89" s="79" t="s">
        <v>204</v>
      </c>
      <c r="G89" s="79"/>
      <c r="H89" s="82" t="s">
        <v>70</v>
      </c>
      <c r="I89" s="82" t="s">
        <v>209</v>
      </c>
    </row>
    <row r="90" spans="1:9">
      <c r="A90" s="79" t="s">
        <v>61</v>
      </c>
      <c r="B90" s="79" t="s">
        <v>348</v>
      </c>
      <c r="C90" s="79" t="s">
        <v>349</v>
      </c>
      <c r="D90" s="80" t="s">
        <v>350</v>
      </c>
      <c r="E90" s="79" t="s">
        <v>317</v>
      </c>
      <c r="F90" s="79" t="s">
        <v>336</v>
      </c>
      <c r="G90" s="79"/>
      <c r="H90" s="82" t="s">
        <v>119</v>
      </c>
      <c r="I90" s="82" t="s">
        <v>124</v>
      </c>
    </row>
    <row r="91" spans="1:9">
      <c r="A91" s="79" t="s">
        <v>61</v>
      </c>
      <c r="B91" s="79" t="s">
        <v>422</v>
      </c>
      <c r="C91" s="79" t="s">
        <v>423</v>
      </c>
      <c r="D91" s="80" t="s">
        <v>424</v>
      </c>
      <c r="E91" s="79" t="s">
        <v>414</v>
      </c>
      <c r="F91" s="79" t="s">
        <v>415</v>
      </c>
      <c r="G91" s="79"/>
      <c r="H91" s="82" t="s">
        <v>70</v>
      </c>
      <c r="I91" s="82" t="s">
        <v>209</v>
      </c>
    </row>
    <row r="92" spans="1:9">
      <c r="A92" s="79" t="s">
        <v>61</v>
      </c>
      <c r="B92" s="113" t="s">
        <v>154</v>
      </c>
      <c r="C92" s="113" t="s">
        <v>155</v>
      </c>
      <c r="D92" s="114" t="s">
        <v>156</v>
      </c>
      <c r="E92" s="79" t="s">
        <v>117</v>
      </c>
      <c r="F92" s="200" t="s">
        <v>137</v>
      </c>
      <c r="G92" s="200"/>
      <c r="H92" s="82" t="s">
        <v>119</v>
      </c>
      <c r="I92" s="82" t="s">
        <v>120</v>
      </c>
    </row>
    <row r="93" spans="1:9">
      <c r="A93" s="79" t="s">
        <v>61</v>
      </c>
      <c r="B93" s="79" t="s">
        <v>228</v>
      </c>
      <c r="C93" s="79" t="s">
        <v>229</v>
      </c>
      <c r="D93" s="80" t="s">
        <v>230</v>
      </c>
      <c r="E93" s="79" t="s">
        <v>203</v>
      </c>
      <c r="F93" s="79" t="s">
        <v>204</v>
      </c>
      <c r="G93" s="79"/>
      <c r="H93" s="82" t="s">
        <v>70</v>
      </c>
      <c r="I93" s="82" t="s">
        <v>209</v>
      </c>
    </row>
    <row r="94" spans="1:9">
      <c r="A94" s="79" t="s">
        <v>61</v>
      </c>
      <c r="B94" s="113" t="s">
        <v>727</v>
      </c>
      <c r="C94" s="79" t="s">
        <v>728</v>
      </c>
      <c r="D94" s="114" t="s">
        <v>729</v>
      </c>
      <c r="E94" s="79" t="s">
        <v>266</v>
      </c>
      <c r="F94" s="115" t="s">
        <v>267</v>
      </c>
      <c r="G94" s="115"/>
      <c r="H94" s="82" t="s">
        <v>119</v>
      </c>
      <c r="I94" s="82" t="s">
        <v>180</v>
      </c>
    </row>
    <row r="95" spans="1:9">
      <c r="A95" s="79" t="s">
        <v>61</v>
      </c>
      <c r="B95" s="79" t="s">
        <v>408</v>
      </c>
      <c r="C95" s="79" t="s">
        <v>409</v>
      </c>
      <c r="D95" s="80" t="s">
        <v>410</v>
      </c>
      <c r="E95" s="79" t="s">
        <v>363</v>
      </c>
      <c r="F95" s="79" t="s">
        <v>368</v>
      </c>
      <c r="G95" s="79"/>
      <c r="H95" s="82" t="s">
        <v>119</v>
      </c>
      <c r="I95" s="82" t="s">
        <v>369</v>
      </c>
    </row>
    <row r="96" spans="1:9">
      <c r="A96" s="79" t="s">
        <v>61</v>
      </c>
      <c r="B96" s="113" t="s">
        <v>508</v>
      </c>
      <c r="C96" s="79" t="s">
        <v>509</v>
      </c>
      <c r="D96" s="114" t="s">
        <v>510</v>
      </c>
      <c r="E96" s="79" t="s">
        <v>640</v>
      </c>
      <c r="F96" s="79" t="s">
        <v>492</v>
      </c>
      <c r="G96" s="79"/>
      <c r="H96" s="82" t="s">
        <v>119</v>
      </c>
      <c r="I96" s="82" t="s">
        <v>205</v>
      </c>
    </row>
    <row r="97" spans="1:9">
      <c r="A97" s="79" t="s">
        <v>61</v>
      </c>
      <c r="B97" s="113" t="s">
        <v>437</v>
      </c>
      <c r="C97" s="79" t="s">
        <v>438</v>
      </c>
      <c r="D97" s="114" t="s">
        <v>439</v>
      </c>
      <c r="E97" s="79" t="s">
        <v>414</v>
      </c>
      <c r="F97" s="115" t="s">
        <v>415</v>
      </c>
      <c r="G97" s="115"/>
      <c r="H97" s="82" t="s">
        <v>70</v>
      </c>
      <c r="I97" s="82" t="s">
        <v>209</v>
      </c>
    </row>
    <row r="98" spans="1:9">
      <c r="A98" s="79" t="s">
        <v>61</v>
      </c>
      <c r="B98" s="113" t="s">
        <v>327</v>
      </c>
      <c r="C98" s="79" t="s">
        <v>328</v>
      </c>
      <c r="D98" s="114" t="s">
        <v>329</v>
      </c>
      <c r="E98" s="79" t="s">
        <v>317</v>
      </c>
      <c r="F98" s="115" t="s">
        <v>143</v>
      </c>
      <c r="G98" s="115"/>
      <c r="H98" s="82" t="s">
        <v>119</v>
      </c>
      <c r="I98" s="82" t="s">
        <v>124</v>
      </c>
    </row>
    <row r="99" spans="1:9">
      <c r="A99" s="79" t="s">
        <v>61</v>
      </c>
      <c r="B99" s="79" t="s">
        <v>169</v>
      </c>
      <c r="C99" s="79" t="s">
        <v>170</v>
      </c>
      <c r="D99" s="80" t="s">
        <v>171</v>
      </c>
      <c r="E99" s="79" t="s">
        <v>117</v>
      </c>
      <c r="F99" s="79" t="s">
        <v>163</v>
      </c>
      <c r="G99" s="79"/>
      <c r="H99" s="82" t="s">
        <v>119</v>
      </c>
      <c r="I99" s="82" t="s">
        <v>164</v>
      </c>
    </row>
    <row r="100" spans="1:9">
      <c r="A100" s="79" t="s">
        <v>61</v>
      </c>
      <c r="B100" s="79" t="s">
        <v>481</v>
      </c>
      <c r="C100" s="156" t="s">
        <v>482</v>
      </c>
      <c r="D100" s="80" t="s">
        <v>483</v>
      </c>
      <c r="E100" s="79" t="s">
        <v>414</v>
      </c>
      <c r="F100" s="79" t="s">
        <v>415</v>
      </c>
      <c r="G100" s="79"/>
      <c r="H100" s="82" t="s">
        <v>70</v>
      </c>
      <c r="I100" s="82" t="s">
        <v>209</v>
      </c>
    </row>
    <row r="101" spans="1:9">
      <c r="A101" s="79" t="s">
        <v>61</v>
      </c>
      <c r="B101" s="79" t="s">
        <v>742</v>
      </c>
      <c r="C101" s="156" t="s">
        <v>743</v>
      </c>
      <c r="D101" s="80" t="s">
        <v>744</v>
      </c>
      <c r="E101" s="79" t="s">
        <v>317</v>
      </c>
      <c r="F101" s="79" t="s">
        <v>336</v>
      </c>
      <c r="G101" s="79"/>
      <c r="H101" s="82" t="s">
        <v>119</v>
      </c>
      <c r="I101" s="82" t="s">
        <v>124</v>
      </c>
    </row>
    <row r="102" spans="1:9">
      <c r="A102" s="79" t="s">
        <v>61</v>
      </c>
      <c r="B102" s="113" t="s">
        <v>736</v>
      </c>
      <c r="C102" s="156" t="s">
        <v>737</v>
      </c>
      <c r="D102" s="114" t="s">
        <v>738</v>
      </c>
      <c r="E102" s="79" t="s">
        <v>117</v>
      </c>
      <c r="F102" s="203" t="s">
        <v>137</v>
      </c>
      <c r="G102" s="203"/>
      <c r="H102" s="82" t="s">
        <v>119</v>
      </c>
      <c r="I102" s="82" t="s">
        <v>133</v>
      </c>
    </row>
    <row r="103" spans="1:9">
      <c r="A103" s="79" t="s">
        <v>61</v>
      </c>
      <c r="B103" s="79" t="s">
        <v>105</v>
      </c>
      <c r="C103" s="79" t="s">
        <v>106</v>
      </c>
      <c r="D103" s="80" t="s">
        <v>107</v>
      </c>
      <c r="E103" s="79" t="s">
        <v>67</v>
      </c>
      <c r="F103" s="79" t="s">
        <v>93</v>
      </c>
      <c r="G103" s="79"/>
      <c r="H103" s="82" t="s">
        <v>70</v>
      </c>
      <c r="I103" s="82" t="s">
        <v>104</v>
      </c>
    </row>
    <row r="104" spans="1:9">
      <c r="A104" s="79" t="s">
        <v>61</v>
      </c>
      <c r="B104" s="79" t="s">
        <v>511</v>
      </c>
      <c r="C104" s="79" t="s">
        <v>512</v>
      </c>
      <c r="D104" s="80" t="s">
        <v>513</v>
      </c>
      <c r="E104" s="79" t="s">
        <v>640</v>
      </c>
      <c r="F104" s="79" t="s">
        <v>492</v>
      </c>
      <c r="G104" s="79"/>
      <c r="H104" s="82" t="s">
        <v>119</v>
      </c>
      <c r="I104" s="82" t="s">
        <v>205</v>
      </c>
    </row>
    <row r="105" spans="1:9">
      <c r="A105" s="79" t="s">
        <v>61</v>
      </c>
      <c r="B105" s="113" t="s">
        <v>514</v>
      </c>
      <c r="C105" s="79" t="s">
        <v>515</v>
      </c>
      <c r="D105" s="114" t="s">
        <v>516</v>
      </c>
      <c r="E105" s="79" t="s">
        <v>640</v>
      </c>
      <c r="F105" s="115" t="s">
        <v>492</v>
      </c>
      <c r="G105" s="115"/>
      <c r="H105" s="82" t="s">
        <v>119</v>
      </c>
      <c r="I105" s="82" t="s">
        <v>205</v>
      </c>
    </row>
    <row r="106" spans="1:9">
      <c r="A106" s="79" t="s">
        <v>61</v>
      </c>
      <c r="B106" s="79" t="s">
        <v>722</v>
      </c>
      <c r="C106" s="79" t="s">
        <v>722</v>
      </c>
      <c r="D106" s="80" t="s">
        <v>723</v>
      </c>
      <c r="E106" s="79" t="s">
        <v>317</v>
      </c>
      <c r="F106" s="79" t="s">
        <v>143</v>
      </c>
      <c r="G106" s="79"/>
      <c r="H106" s="82" t="s">
        <v>119</v>
      </c>
      <c r="I106" s="82" t="s">
        <v>124</v>
      </c>
    </row>
    <row r="107" spans="1:9">
      <c r="A107" s="79" t="s">
        <v>61</v>
      </c>
      <c r="B107" s="79" t="s">
        <v>440</v>
      </c>
      <c r="C107" s="79" t="s">
        <v>441</v>
      </c>
      <c r="D107" s="80" t="s">
        <v>442</v>
      </c>
      <c r="E107" s="79" t="s">
        <v>414</v>
      </c>
      <c r="F107" s="79" t="s">
        <v>415</v>
      </c>
      <c r="G107" s="79"/>
      <c r="H107" s="82" t="s">
        <v>70</v>
      </c>
      <c r="I107" s="82" t="s">
        <v>209</v>
      </c>
    </row>
    <row r="108" spans="1:9">
      <c r="A108" s="79" t="s">
        <v>61</v>
      </c>
      <c r="B108" s="79" t="s">
        <v>536</v>
      </c>
      <c r="C108" s="79" t="s">
        <v>537</v>
      </c>
      <c r="D108" s="80" t="s">
        <v>538</v>
      </c>
      <c r="E108" s="79" t="s">
        <v>640</v>
      </c>
      <c r="F108" s="79" t="s">
        <v>488</v>
      </c>
      <c r="G108" s="79"/>
      <c r="H108" s="82" t="s">
        <v>119</v>
      </c>
      <c r="I108" s="82" t="s">
        <v>205</v>
      </c>
    </row>
    <row r="109" spans="1:9">
      <c r="A109" s="79" t="s">
        <v>61</v>
      </c>
      <c r="B109" s="113" t="s">
        <v>443</v>
      </c>
      <c r="C109" s="79" t="s">
        <v>444</v>
      </c>
      <c r="D109" s="114" t="s">
        <v>445</v>
      </c>
      <c r="E109" s="79" t="s">
        <v>414</v>
      </c>
      <c r="F109" s="115" t="s">
        <v>415</v>
      </c>
      <c r="G109" s="115"/>
      <c r="H109" s="82" t="s">
        <v>70</v>
      </c>
      <c r="I109" s="82" t="s">
        <v>209</v>
      </c>
    </row>
    <row r="110" spans="1:9">
      <c r="A110" s="79" t="s">
        <v>61</v>
      </c>
      <c r="B110" s="79" t="s">
        <v>81</v>
      </c>
      <c r="C110" s="79" t="s">
        <v>82</v>
      </c>
      <c r="D110" s="80" t="s">
        <v>83</v>
      </c>
      <c r="E110" s="79" t="s">
        <v>67</v>
      </c>
      <c r="F110" s="115" t="s">
        <v>78</v>
      </c>
      <c r="G110" s="115"/>
      <c r="H110" s="82" t="s">
        <v>70</v>
      </c>
      <c r="I110" s="82" t="s">
        <v>79</v>
      </c>
    </row>
    <row r="111" spans="1:9">
      <c r="A111" s="79" t="s">
        <v>61</v>
      </c>
      <c r="B111" s="79" t="s">
        <v>588</v>
      </c>
      <c r="C111" s="79" t="s">
        <v>589</v>
      </c>
      <c r="D111" s="80" t="s">
        <v>590</v>
      </c>
      <c r="E111" s="79" t="s">
        <v>640</v>
      </c>
      <c r="F111" s="79" t="s">
        <v>492</v>
      </c>
      <c r="G111" s="79"/>
      <c r="H111" s="82" t="s">
        <v>119</v>
      </c>
      <c r="I111" s="82" t="s">
        <v>205</v>
      </c>
    </row>
    <row r="112" spans="1:9">
      <c r="A112" s="79" t="s">
        <v>61</v>
      </c>
      <c r="B112" s="79" t="s">
        <v>517</v>
      </c>
      <c r="C112" s="79" t="s">
        <v>518</v>
      </c>
      <c r="D112" s="80" t="s">
        <v>519</v>
      </c>
      <c r="E112" s="79" t="s">
        <v>640</v>
      </c>
      <c r="F112" s="79" t="s">
        <v>492</v>
      </c>
      <c r="G112" s="79"/>
      <c r="H112" s="82" t="s">
        <v>119</v>
      </c>
      <c r="I112" s="82" t="s">
        <v>205</v>
      </c>
    </row>
    <row r="113" spans="1:9">
      <c r="A113" s="79" t="s">
        <v>61</v>
      </c>
      <c r="B113" s="79" t="s">
        <v>98</v>
      </c>
      <c r="C113" s="79" t="s">
        <v>99</v>
      </c>
      <c r="D113" s="80" t="s">
        <v>100</v>
      </c>
      <c r="E113" s="79" t="s">
        <v>67</v>
      </c>
      <c r="F113" s="115" t="s">
        <v>78</v>
      </c>
      <c r="G113" s="115"/>
      <c r="H113" s="82" t="s">
        <v>70</v>
      </c>
      <c r="I113" s="82" t="s">
        <v>79</v>
      </c>
    </row>
    <row r="114" spans="1:9">
      <c r="A114" s="79" t="s">
        <v>61</v>
      </c>
      <c r="B114" s="79" t="s">
        <v>404</v>
      </c>
      <c r="C114" s="79">
        <v>10</v>
      </c>
      <c r="D114" s="80" t="s">
        <v>405</v>
      </c>
      <c r="E114" s="79" t="s">
        <v>363</v>
      </c>
      <c r="F114" s="115" t="s">
        <v>364</v>
      </c>
      <c r="G114" s="115"/>
      <c r="H114" s="82" t="s">
        <v>70</v>
      </c>
      <c r="I114" s="82" t="s">
        <v>79</v>
      </c>
    </row>
    <row r="115" spans="1:9">
      <c r="A115" s="79" t="s">
        <v>61</v>
      </c>
      <c r="B115" s="79" t="s">
        <v>401</v>
      </c>
      <c r="C115" s="79" t="s">
        <v>402</v>
      </c>
      <c r="D115" s="80" t="s">
        <v>403</v>
      </c>
      <c r="E115" s="79" t="s">
        <v>363</v>
      </c>
      <c r="F115" s="79" t="s">
        <v>364</v>
      </c>
      <c r="G115" s="79"/>
      <c r="H115" s="82" t="s">
        <v>70</v>
      </c>
      <c r="I115" s="82" t="s">
        <v>79</v>
      </c>
    </row>
    <row r="116" spans="1:9">
      <c r="A116" s="79" t="s">
        <v>61</v>
      </c>
      <c r="B116" s="79" t="s">
        <v>274</v>
      </c>
      <c r="C116" s="79" t="s">
        <v>275</v>
      </c>
      <c r="D116" s="80" t="s">
        <v>276</v>
      </c>
      <c r="E116" s="79" t="s">
        <v>266</v>
      </c>
      <c r="F116" s="79" t="s">
        <v>273</v>
      </c>
      <c r="G116" s="79"/>
      <c r="H116" s="82" t="s">
        <v>119</v>
      </c>
      <c r="I116" s="82" t="s">
        <v>269</v>
      </c>
    </row>
    <row r="117" spans="1:9">
      <c r="A117" s="79" t="s">
        <v>61</v>
      </c>
      <c r="B117" s="156" t="s">
        <v>575</v>
      </c>
      <c r="C117" s="258" t="s">
        <v>576</v>
      </c>
      <c r="D117" s="80" t="s">
        <v>577</v>
      </c>
      <c r="E117" s="79" t="s">
        <v>640</v>
      </c>
      <c r="F117" s="79" t="s">
        <v>564</v>
      </c>
      <c r="G117" s="79"/>
      <c r="H117" s="82" t="s">
        <v>70</v>
      </c>
      <c r="I117" s="82" t="s">
        <v>71</v>
      </c>
    </row>
    <row r="118" spans="1:9">
      <c r="A118" s="79" t="s">
        <v>61</v>
      </c>
      <c r="B118" s="79" t="s">
        <v>249</v>
      </c>
      <c r="C118" s="79" t="s">
        <v>250</v>
      </c>
      <c r="D118" s="80" t="s">
        <v>251</v>
      </c>
      <c r="E118" s="79" t="s">
        <v>203</v>
      </c>
      <c r="F118" s="79" t="s">
        <v>415</v>
      </c>
      <c r="G118" s="79"/>
      <c r="H118" s="82" t="s">
        <v>70</v>
      </c>
      <c r="I118" s="82" t="s">
        <v>79</v>
      </c>
    </row>
    <row r="119" spans="1:9">
      <c r="A119" s="79" t="s">
        <v>61</v>
      </c>
      <c r="B119" s="113" t="s">
        <v>157</v>
      </c>
      <c r="C119" s="79" t="s">
        <v>157</v>
      </c>
      <c r="D119" s="114" t="s">
        <v>158</v>
      </c>
      <c r="E119" s="79" t="s">
        <v>117</v>
      </c>
      <c r="F119" s="115" t="s">
        <v>137</v>
      </c>
      <c r="G119" s="115"/>
      <c r="H119" s="82" t="s">
        <v>119</v>
      </c>
      <c r="I119" s="82" t="s">
        <v>133</v>
      </c>
    </row>
    <row r="120" spans="1:9">
      <c r="A120" s="79" t="s">
        <v>61</v>
      </c>
      <c r="B120" s="79" t="s">
        <v>111</v>
      </c>
      <c r="C120" s="79" t="s">
        <v>112</v>
      </c>
      <c r="D120" s="80" t="s">
        <v>113</v>
      </c>
      <c r="E120" s="79" t="s">
        <v>67</v>
      </c>
      <c r="F120" s="79" t="s">
        <v>93</v>
      </c>
      <c r="G120" s="79"/>
      <c r="H120" s="82" t="s">
        <v>70</v>
      </c>
      <c r="I120" s="82" t="s">
        <v>104</v>
      </c>
    </row>
    <row r="121" spans="1:9">
      <c r="A121" s="79" t="s">
        <v>61</v>
      </c>
      <c r="B121" s="79" t="s">
        <v>719</v>
      </c>
      <c r="C121" s="79" t="s">
        <v>720</v>
      </c>
      <c r="D121" s="80" t="s">
        <v>721</v>
      </c>
      <c r="E121" s="79" t="s">
        <v>317</v>
      </c>
      <c r="F121" s="79" t="s">
        <v>336</v>
      </c>
      <c r="G121" s="79"/>
      <c r="H121" s="82" t="s">
        <v>119</v>
      </c>
      <c r="I121" s="82" t="s">
        <v>124</v>
      </c>
    </row>
    <row r="122" spans="1:9">
      <c r="A122" s="79" t="s">
        <v>61</v>
      </c>
      <c r="B122" s="79" t="s">
        <v>231</v>
      </c>
      <c r="C122" s="79" t="s">
        <v>232</v>
      </c>
      <c r="D122" s="80" t="s">
        <v>233</v>
      </c>
      <c r="E122" s="79" t="s">
        <v>203</v>
      </c>
      <c r="F122" s="79" t="s">
        <v>204</v>
      </c>
      <c r="G122" s="79"/>
      <c r="H122" s="82" t="s">
        <v>70</v>
      </c>
      <c r="I122" s="82" t="s">
        <v>209</v>
      </c>
    </row>
    <row r="123" spans="1:9">
      <c r="A123" s="79" t="s">
        <v>61</v>
      </c>
      <c r="B123" s="113" t="s">
        <v>520</v>
      </c>
      <c r="C123" s="113" t="s">
        <v>521</v>
      </c>
      <c r="D123" s="114" t="s">
        <v>522</v>
      </c>
      <c r="E123" s="79" t="s">
        <v>640</v>
      </c>
      <c r="F123" s="79" t="s">
        <v>492</v>
      </c>
      <c r="G123" s="79"/>
      <c r="H123" s="82" t="s">
        <v>119</v>
      </c>
      <c r="I123" s="82" t="s">
        <v>205</v>
      </c>
    </row>
    <row r="124" spans="1:9">
      <c r="A124" s="79" t="s">
        <v>61</v>
      </c>
      <c r="B124" s="79" t="s">
        <v>301</v>
      </c>
      <c r="C124" s="79" t="s">
        <v>302</v>
      </c>
      <c r="D124" s="80" t="s">
        <v>303</v>
      </c>
      <c r="E124" s="79" t="s">
        <v>266</v>
      </c>
      <c r="F124" s="79" t="s">
        <v>267</v>
      </c>
      <c r="G124" s="79"/>
      <c r="H124" s="82" t="s">
        <v>119</v>
      </c>
      <c r="I124" s="82" t="s">
        <v>180</v>
      </c>
    </row>
    <row r="125" spans="1:9">
      <c r="A125" s="79" t="s">
        <v>61</v>
      </c>
      <c r="B125" s="79" t="s">
        <v>376</v>
      </c>
      <c r="C125" s="79" t="s">
        <v>377</v>
      </c>
      <c r="D125" s="80" t="s">
        <v>378</v>
      </c>
      <c r="E125" s="79" t="s">
        <v>363</v>
      </c>
      <c r="F125" s="79" t="s">
        <v>368</v>
      </c>
      <c r="G125" s="79"/>
      <c r="H125" s="82" t="s">
        <v>119</v>
      </c>
      <c r="I125" s="82" t="s">
        <v>369</v>
      </c>
    </row>
    <row r="126" spans="1:9">
      <c r="A126" s="79" t="s">
        <v>61</v>
      </c>
      <c r="B126" s="113" t="s">
        <v>351</v>
      </c>
      <c r="C126" s="156" t="s">
        <v>352</v>
      </c>
      <c r="D126" s="114" t="s">
        <v>353</v>
      </c>
      <c r="E126" s="79" t="s">
        <v>317</v>
      </c>
      <c r="F126" s="115" t="s">
        <v>336</v>
      </c>
      <c r="G126" s="115"/>
      <c r="H126" s="82" t="s">
        <v>119</v>
      </c>
      <c r="I126" s="82" t="s">
        <v>124</v>
      </c>
    </row>
    <row r="127" spans="1:9">
      <c r="A127" s="79" t="s">
        <v>61</v>
      </c>
      <c r="B127" s="79">
        <v>1</v>
      </c>
      <c r="C127" s="255" t="s">
        <v>331</v>
      </c>
      <c r="D127" s="114" t="s">
        <v>332</v>
      </c>
      <c r="E127" s="79" t="s">
        <v>317</v>
      </c>
      <c r="F127" s="200" t="s">
        <v>143</v>
      </c>
      <c r="G127" s="200"/>
      <c r="H127" s="82" t="s">
        <v>119</v>
      </c>
      <c r="I127" s="82" t="s">
        <v>124</v>
      </c>
    </row>
    <row r="128" spans="1:9">
      <c r="A128" s="79" t="s">
        <v>61</v>
      </c>
      <c r="B128" s="79" t="s">
        <v>446</v>
      </c>
      <c r="C128" s="79" t="s">
        <v>447</v>
      </c>
      <c r="D128" s="80" t="s">
        <v>448</v>
      </c>
      <c r="E128" s="79" t="s">
        <v>414</v>
      </c>
      <c r="F128" s="79" t="s">
        <v>415</v>
      </c>
      <c r="G128" s="79"/>
      <c r="H128" s="82" t="s">
        <v>70</v>
      </c>
      <c r="I128" s="82" t="s">
        <v>209</v>
      </c>
    </row>
    <row r="129" spans="1:9">
      <c r="A129" s="79" t="s">
        <v>61</v>
      </c>
      <c r="B129" s="79" t="s">
        <v>189</v>
      </c>
      <c r="C129" s="79" t="s">
        <v>190</v>
      </c>
      <c r="D129" s="80" t="s">
        <v>191</v>
      </c>
      <c r="E129" s="79" t="s">
        <v>117</v>
      </c>
      <c r="F129" s="79" t="s">
        <v>179</v>
      </c>
      <c r="G129" s="79"/>
      <c r="H129" s="82" t="s">
        <v>70</v>
      </c>
      <c r="I129" s="82" t="s">
        <v>184</v>
      </c>
    </row>
    <row r="130" spans="1:9">
      <c r="A130" s="79" t="s">
        <v>61</v>
      </c>
      <c r="B130" s="121" t="s">
        <v>277</v>
      </c>
      <c r="C130" s="79" t="s">
        <v>278</v>
      </c>
      <c r="D130" s="80" t="s">
        <v>279</v>
      </c>
      <c r="E130" s="79" t="s">
        <v>266</v>
      </c>
      <c r="F130" s="79" t="s">
        <v>273</v>
      </c>
      <c r="G130" s="79"/>
      <c r="H130" s="82" t="s">
        <v>119</v>
      </c>
      <c r="I130" s="82" t="s">
        <v>269</v>
      </c>
    </row>
    <row r="131" spans="1:9">
      <c r="A131" s="79" t="s">
        <v>61</v>
      </c>
      <c r="B131" s="121" t="s">
        <v>234</v>
      </c>
      <c r="C131" s="79" t="s">
        <v>235</v>
      </c>
      <c r="D131" s="80" t="s">
        <v>236</v>
      </c>
      <c r="E131" s="79" t="s">
        <v>203</v>
      </c>
      <c r="F131" s="79" t="s">
        <v>204</v>
      </c>
      <c r="G131" s="79"/>
      <c r="H131" s="82" t="s">
        <v>70</v>
      </c>
      <c r="I131" s="82" t="s">
        <v>209</v>
      </c>
    </row>
    <row r="132" spans="1:9">
      <c r="A132" s="120" t="s">
        <v>61</v>
      </c>
      <c r="B132" s="145" t="s">
        <v>318</v>
      </c>
      <c r="C132" s="79" t="s">
        <v>319</v>
      </c>
      <c r="D132" s="123" t="s">
        <v>320</v>
      </c>
      <c r="E132" s="79" t="s">
        <v>317</v>
      </c>
      <c r="F132" s="79" t="s">
        <v>143</v>
      </c>
      <c r="G132" s="79"/>
      <c r="H132" s="82" t="s">
        <v>119</v>
      </c>
      <c r="I132" s="82" t="s">
        <v>124</v>
      </c>
    </row>
    <row r="133" spans="1:9">
      <c r="A133" s="120" t="s">
        <v>61</v>
      </c>
      <c r="B133" s="106" t="s">
        <v>237</v>
      </c>
      <c r="C133" s="79" t="s">
        <v>237</v>
      </c>
      <c r="D133" s="268" t="s">
        <v>238</v>
      </c>
      <c r="E133" s="79" t="s">
        <v>203</v>
      </c>
      <c r="F133" s="272" t="s">
        <v>204</v>
      </c>
      <c r="G133" s="115"/>
      <c r="H133" s="82" t="s">
        <v>70</v>
      </c>
      <c r="I133" s="82" t="s">
        <v>209</v>
      </c>
    </row>
    <row r="134" spans="1:9">
      <c r="A134" s="120" t="s">
        <v>61</v>
      </c>
      <c r="B134" s="106" t="s">
        <v>370</v>
      </c>
      <c r="C134" s="79" t="s">
        <v>371</v>
      </c>
      <c r="D134" s="197" t="s">
        <v>372</v>
      </c>
      <c r="E134" s="79" t="s">
        <v>363</v>
      </c>
      <c r="F134" s="160" t="s">
        <v>368</v>
      </c>
      <c r="G134" s="79"/>
      <c r="H134" s="82" t="s">
        <v>119</v>
      </c>
      <c r="I134" s="82" t="s">
        <v>369</v>
      </c>
    </row>
    <row r="135" spans="1:9">
      <c r="A135" s="120" t="s">
        <v>61</v>
      </c>
      <c r="B135" s="106" t="s">
        <v>307</v>
      </c>
      <c r="C135" s="79" t="s">
        <v>308</v>
      </c>
      <c r="D135" s="197" t="s">
        <v>309</v>
      </c>
      <c r="E135" s="79" t="s">
        <v>266</v>
      </c>
      <c r="F135" s="160" t="s">
        <v>267</v>
      </c>
      <c r="G135" s="79"/>
      <c r="H135" s="82" t="s">
        <v>70</v>
      </c>
      <c r="I135" s="82" t="s">
        <v>180</v>
      </c>
    </row>
    <row r="136" spans="1:9">
      <c r="A136" s="120" t="s">
        <v>61</v>
      </c>
      <c r="B136" s="106" t="s">
        <v>357</v>
      </c>
      <c r="C136" s="79" t="s">
        <v>358</v>
      </c>
      <c r="D136" s="197" t="s">
        <v>359</v>
      </c>
      <c r="E136" s="79" t="s">
        <v>317</v>
      </c>
      <c r="F136" s="160" t="s">
        <v>336</v>
      </c>
      <c r="G136" s="79"/>
      <c r="H136" s="82" t="s">
        <v>119</v>
      </c>
      <c r="I136" s="82" t="s">
        <v>124</v>
      </c>
    </row>
    <row r="137" spans="1:9">
      <c r="A137" s="120" t="s">
        <v>61</v>
      </c>
      <c r="B137" s="269" t="s">
        <v>449</v>
      </c>
      <c r="C137" s="113" t="s">
        <v>450</v>
      </c>
      <c r="D137" s="270" t="s">
        <v>451</v>
      </c>
      <c r="E137" s="79" t="s">
        <v>414</v>
      </c>
      <c r="F137" s="271" t="s">
        <v>415</v>
      </c>
      <c r="G137" s="115"/>
      <c r="H137" s="82" t="s">
        <v>70</v>
      </c>
      <c r="I137" s="82" t="s">
        <v>209</v>
      </c>
    </row>
    <row r="138" spans="1:9">
      <c r="A138" s="120" t="s">
        <v>61</v>
      </c>
      <c r="B138" s="106" t="s">
        <v>289</v>
      </c>
      <c r="C138" s="79" t="s">
        <v>290</v>
      </c>
      <c r="D138" s="197" t="s">
        <v>291</v>
      </c>
      <c r="E138" s="79" t="s">
        <v>266</v>
      </c>
      <c r="F138" s="160" t="s">
        <v>267</v>
      </c>
      <c r="G138" s="79"/>
      <c r="H138" s="82" t="s">
        <v>119</v>
      </c>
      <c r="I138" s="82" t="s">
        <v>180</v>
      </c>
    </row>
    <row r="139" spans="1:9">
      <c r="A139" s="120" t="s">
        <v>61</v>
      </c>
      <c r="B139" s="106" t="s">
        <v>280</v>
      </c>
      <c r="C139" s="79" t="s">
        <v>281</v>
      </c>
      <c r="D139" s="197" t="s">
        <v>282</v>
      </c>
      <c r="E139" s="79" t="s">
        <v>266</v>
      </c>
      <c r="F139" s="160" t="s">
        <v>273</v>
      </c>
      <c r="G139" s="79"/>
      <c r="H139" s="82" t="s">
        <v>119</v>
      </c>
      <c r="I139" s="82" t="s">
        <v>269</v>
      </c>
    </row>
    <row r="140" spans="1:9">
      <c r="A140" s="120" t="s">
        <v>61</v>
      </c>
      <c r="B140" s="106" t="s">
        <v>539</v>
      </c>
      <c r="C140" s="79" t="s">
        <v>540</v>
      </c>
      <c r="D140" s="123" t="s">
        <v>541</v>
      </c>
      <c r="E140" s="79" t="s">
        <v>640</v>
      </c>
      <c r="F140" s="160" t="s">
        <v>488</v>
      </c>
      <c r="G140" s="79"/>
      <c r="H140" s="82" t="s">
        <v>119</v>
      </c>
      <c r="I140" s="82" t="s">
        <v>205</v>
      </c>
    </row>
    <row r="141" spans="1:9">
      <c r="A141" s="120" t="s">
        <v>61</v>
      </c>
      <c r="B141" s="79" t="s">
        <v>452</v>
      </c>
      <c r="C141" s="79" t="s">
        <v>453</v>
      </c>
      <c r="D141" s="80" t="s">
        <v>454</v>
      </c>
      <c r="E141" s="79" t="s">
        <v>414</v>
      </c>
      <c r="F141" s="155" t="s">
        <v>415</v>
      </c>
      <c r="G141" s="79"/>
      <c r="H141" s="82" t="s">
        <v>70</v>
      </c>
      <c r="I141" s="82" t="s">
        <v>209</v>
      </c>
    </row>
    <row r="142" spans="1:9">
      <c r="A142" s="120" t="s">
        <v>61</v>
      </c>
      <c r="B142" s="79" t="s">
        <v>239</v>
      </c>
      <c r="C142" s="79" t="s">
        <v>240</v>
      </c>
      <c r="D142" s="196" t="s">
        <v>241</v>
      </c>
      <c r="E142" s="79" t="s">
        <v>203</v>
      </c>
      <c r="F142" s="106" t="s">
        <v>204</v>
      </c>
      <c r="G142" s="79"/>
      <c r="H142" s="82" t="s">
        <v>70</v>
      </c>
      <c r="I142" s="82" t="s">
        <v>209</v>
      </c>
    </row>
    <row r="143" spans="1:9">
      <c r="A143" s="120" t="s">
        <v>61</v>
      </c>
      <c r="B143" s="79" t="s">
        <v>321</v>
      </c>
      <c r="C143" s="79" t="s">
        <v>322</v>
      </c>
      <c r="D143" s="193" t="s">
        <v>323</v>
      </c>
      <c r="E143" s="79" t="s">
        <v>317</v>
      </c>
      <c r="F143" s="106" t="s">
        <v>143</v>
      </c>
      <c r="G143" s="79"/>
      <c r="H143" s="82" t="s">
        <v>119</v>
      </c>
      <c r="I143" s="82" t="s">
        <v>124</v>
      </c>
    </row>
    <row r="144" spans="1:9">
      <c r="A144" s="120" t="s">
        <v>61</v>
      </c>
      <c r="B144" s="79" t="s">
        <v>455</v>
      </c>
      <c r="C144" s="79" t="s">
        <v>456</v>
      </c>
      <c r="D144" s="196" t="s">
        <v>457</v>
      </c>
      <c r="E144" s="79" t="s">
        <v>414</v>
      </c>
      <c r="F144" s="160" t="s">
        <v>415</v>
      </c>
      <c r="G144" s="79"/>
      <c r="H144" s="82" t="s">
        <v>70</v>
      </c>
      <c r="I144" s="82" t="s">
        <v>209</v>
      </c>
    </row>
    <row r="145" spans="1:9">
      <c r="A145" s="120" t="s">
        <v>61</v>
      </c>
      <c r="B145" s="156" t="s">
        <v>484</v>
      </c>
      <c r="C145" s="79" t="s">
        <v>485</v>
      </c>
      <c r="D145" s="193" t="s">
        <v>486</v>
      </c>
      <c r="E145" s="79" t="s">
        <v>640</v>
      </c>
      <c r="F145" s="160" t="s">
        <v>488</v>
      </c>
      <c r="G145" s="79"/>
      <c r="H145" s="82" t="s">
        <v>119</v>
      </c>
      <c r="I145" s="82" t="s">
        <v>205</v>
      </c>
    </row>
    <row r="146" spans="1:9">
      <c r="A146" s="79" t="s">
        <v>61</v>
      </c>
      <c r="B146" s="79" t="s">
        <v>459</v>
      </c>
      <c r="C146" s="79" t="s">
        <v>460</v>
      </c>
      <c r="D146" s="194" t="s">
        <v>461</v>
      </c>
      <c r="E146" s="79" t="s">
        <v>414</v>
      </c>
      <c r="F146" s="106" t="s">
        <v>415</v>
      </c>
      <c r="G146" s="79"/>
      <c r="H146" s="82" t="s">
        <v>70</v>
      </c>
      <c r="I146" s="82" t="s">
        <v>209</v>
      </c>
    </row>
    <row r="147" spans="1:9">
      <c r="A147" s="79" t="s">
        <v>61</v>
      </c>
      <c r="B147" s="79" t="s">
        <v>242</v>
      </c>
      <c r="C147" s="79" t="s">
        <v>243</v>
      </c>
      <c r="D147" s="123" t="s">
        <v>244</v>
      </c>
      <c r="E147" s="79" t="s">
        <v>203</v>
      </c>
      <c r="F147" s="106" t="s">
        <v>204</v>
      </c>
      <c r="G147" s="79"/>
      <c r="H147" s="82" t="s">
        <v>70</v>
      </c>
      <c r="I147" s="82" t="s">
        <v>209</v>
      </c>
    </row>
    <row r="148" spans="1:9">
      <c r="A148" s="79" t="s">
        <v>61</v>
      </c>
      <c r="B148" s="79" t="s">
        <v>523</v>
      </c>
      <c r="C148" s="79" t="s">
        <v>524</v>
      </c>
      <c r="D148" s="123" t="s">
        <v>525</v>
      </c>
      <c r="E148" s="79" t="s">
        <v>640</v>
      </c>
      <c r="F148" s="106" t="s">
        <v>492</v>
      </c>
      <c r="G148" s="79"/>
      <c r="H148" s="82" t="s">
        <v>119</v>
      </c>
      <c r="I148" s="82" t="s">
        <v>205</v>
      </c>
    </row>
    <row r="149" spans="1:9">
      <c r="A149" s="79" t="s">
        <v>61</v>
      </c>
      <c r="B149" s="79" t="s">
        <v>542</v>
      </c>
      <c r="C149" s="79" t="s">
        <v>543</v>
      </c>
      <c r="D149" s="80" t="s">
        <v>544</v>
      </c>
      <c r="E149" s="79" t="s">
        <v>640</v>
      </c>
      <c r="F149" s="106" t="s">
        <v>488</v>
      </c>
      <c r="G149" s="79"/>
      <c r="H149" s="82" t="s">
        <v>119</v>
      </c>
      <c r="I149" s="82" t="s">
        <v>205</v>
      </c>
    </row>
    <row r="150" spans="1:9">
      <c r="A150" s="79" t="s">
        <v>61</v>
      </c>
      <c r="B150" s="79" t="s">
        <v>739</v>
      </c>
      <c r="C150" s="79" t="s">
        <v>740</v>
      </c>
      <c r="D150" s="195" t="s">
        <v>741</v>
      </c>
      <c r="E150" s="79" t="s">
        <v>363</v>
      </c>
      <c r="F150" s="106" t="s">
        <v>364</v>
      </c>
      <c r="G150" s="79"/>
      <c r="H150" s="82" t="s">
        <v>70</v>
      </c>
      <c r="I150" s="82" t="s">
        <v>79</v>
      </c>
    </row>
    <row r="151" spans="1:9">
      <c r="A151" s="79" t="s">
        <v>61</v>
      </c>
      <c r="B151" s="79" t="s">
        <v>462</v>
      </c>
      <c r="C151" s="79" t="s">
        <v>463</v>
      </c>
      <c r="D151" s="196" t="s">
        <v>464</v>
      </c>
      <c r="E151" s="79" t="s">
        <v>414</v>
      </c>
      <c r="F151" s="106" t="s">
        <v>415</v>
      </c>
      <c r="G151" s="79"/>
      <c r="H151" s="82" t="s">
        <v>70</v>
      </c>
      <c r="I151" s="82" t="s">
        <v>209</v>
      </c>
    </row>
    <row r="152" spans="1:9">
      <c r="A152" s="79" t="s">
        <v>61</v>
      </c>
      <c r="B152" s="79" t="s">
        <v>121</v>
      </c>
      <c r="C152" s="79" t="s">
        <v>122</v>
      </c>
      <c r="D152" s="198" t="s">
        <v>123</v>
      </c>
      <c r="E152" s="79" t="s">
        <v>117</v>
      </c>
      <c r="F152" s="106" t="s">
        <v>118</v>
      </c>
      <c r="G152" s="79"/>
      <c r="H152" s="82" t="s">
        <v>119</v>
      </c>
      <c r="I152" s="82" t="s">
        <v>124</v>
      </c>
    </row>
    <row r="153" spans="1:9">
      <c r="A153" s="79" t="s">
        <v>61</v>
      </c>
      <c r="B153" s="79" t="s">
        <v>354</v>
      </c>
      <c r="C153" s="79" t="s">
        <v>355</v>
      </c>
      <c r="D153" s="193" t="s">
        <v>356</v>
      </c>
      <c r="E153" s="79" t="s">
        <v>317</v>
      </c>
      <c r="F153" s="106" t="s">
        <v>336</v>
      </c>
      <c r="G153" s="79"/>
      <c r="H153" s="82" t="s">
        <v>119</v>
      </c>
      <c r="I153" s="82" t="s">
        <v>120</v>
      </c>
    </row>
    <row r="154" spans="1:9">
      <c r="A154" s="79" t="s">
        <v>61</v>
      </c>
      <c r="B154" s="156" t="s">
        <v>558</v>
      </c>
      <c r="C154" s="258" t="s">
        <v>558</v>
      </c>
      <c r="D154" s="195" t="s">
        <v>559</v>
      </c>
      <c r="E154" s="79" t="s">
        <v>640</v>
      </c>
      <c r="F154" s="106" t="s">
        <v>488</v>
      </c>
      <c r="G154" s="79"/>
      <c r="H154" s="82" t="s">
        <v>119</v>
      </c>
      <c r="I154" s="82" t="s">
        <v>560</v>
      </c>
    </row>
    <row r="155" spans="1:9">
      <c r="A155" s="79" t="s">
        <v>61</v>
      </c>
      <c r="B155" s="156" t="s">
        <v>172</v>
      </c>
      <c r="C155" s="258" t="s">
        <v>173</v>
      </c>
      <c r="D155" s="195" t="s">
        <v>174</v>
      </c>
      <c r="E155" s="79" t="s">
        <v>117</v>
      </c>
      <c r="F155" s="79" t="s">
        <v>163</v>
      </c>
      <c r="G155" s="79"/>
      <c r="H155" s="82" t="s">
        <v>119</v>
      </c>
      <c r="I155" s="82" t="s">
        <v>164</v>
      </c>
    </row>
    <row r="156" spans="1:9">
      <c r="A156" s="79" t="s">
        <v>61</v>
      </c>
      <c r="B156" s="79" t="s">
        <v>745</v>
      </c>
      <c r="C156" s="79" t="s">
        <v>746</v>
      </c>
      <c r="D156" s="80" t="s">
        <v>747</v>
      </c>
      <c r="E156" s="79" t="s">
        <v>203</v>
      </c>
      <c r="F156" s="79" t="s">
        <v>204</v>
      </c>
      <c r="G156" s="79"/>
      <c r="H156" s="82" t="s">
        <v>70</v>
      </c>
      <c r="I156" s="82" t="s">
        <v>209</v>
      </c>
    </row>
    <row r="157" spans="1:9">
      <c r="A157" s="79" t="s">
        <v>61</v>
      </c>
      <c r="B157" s="79" t="s">
        <v>360</v>
      </c>
      <c r="C157" s="79" t="s">
        <v>361</v>
      </c>
      <c r="D157" s="80" t="s">
        <v>362</v>
      </c>
      <c r="E157" s="79" t="s">
        <v>363</v>
      </c>
      <c r="F157" s="79" t="s">
        <v>364</v>
      </c>
      <c r="G157" s="79"/>
      <c r="H157" s="82" t="s">
        <v>70</v>
      </c>
      <c r="I157" s="82" t="s">
        <v>79</v>
      </c>
    </row>
    <row r="158" spans="1:9">
      <c r="A158" s="79" t="s">
        <v>61</v>
      </c>
      <c r="B158" s="79" t="s">
        <v>465</v>
      </c>
      <c r="C158" s="79" t="s">
        <v>466</v>
      </c>
      <c r="D158" s="196" t="s">
        <v>467</v>
      </c>
      <c r="E158" s="156" t="s">
        <v>414</v>
      </c>
      <c r="F158" s="79" t="s">
        <v>415</v>
      </c>
      <c r="G158" s="79"/>
      <c r="H158" s="82" t="s">
        <v>70</v>
      </c>
      <c r="I158" s="82" t="s">
        <v>209</v>
      </c>
    </row>
    <row r="159" spans="1:9">
      <c r="A159" s="79" t="s">
        <v>61</v>
      </c>
      <c r="B159" s="79" t="s">
        <v>733</v>
      </c>
      <c r="C159" s="79" t="s">
        <v>734</v>
      </c>
      <c r="D159" s="193" t="s">
        <v>735</v>
      </c>
      <c r="E159" s="79" t="s">
        <v>67</v>
      </c>
      <c r="F159" s="79" t="s">
        <v>78</v>
      </c>
      <c r="G159" s="79"/>
      <c r="H159" s="82" t="s">
        <v>70</v>
      </c>
      <c r="I159" s="82" t="s">
        <v>79</v>
      </c>
    </row>
    <row r="160" spans="1:9">
      <c r="A160" s="79" t="s">
        <v>61</v>
      </c>
      <c r="B160" s="106" t="s">
        <v>260</v>
      </c>
      <c r="C160" s="106" t="s">
        <v>261</v>
      </c>
      <c r="D160" s="80" t="s">
        <v>262</v>
      </c>
      <c r="E160" s="79" t="s">
        <v>203</v>
      </c>
      <c r="F160" s="79" t="s">
        <v>204</v>
      </c>
      <c r="G160" s="79"/>
      <c r="H160" s="82" t="s">
        <v>70</v>
      </c>
      <c r="I160" s="82" t="s">
        <v>209</v>
      </c>
    </row>
    <row r="161" spans="1:9">
      <c r="A161" s="79" t="s">
        <v>61</v>
      </c>
      <c r="B161" s="79" t="s">
        <v>385</v>
      </c>
      <c r="C161" s="79" t="s">
        <v>386</v>
      </c>
      <c r="D161" s="80" t="s">
        <v>387</v>
      </c>
      <c r="E161" s="79" t="s">
        <v>363</v>
      </c>
      <c r="F161" s="79" t="s">
        <v>364</v>
      </c>
      <c r="G161" s="79"/>
      <c r="H161" s="82" t="s">
        <v>70</v>
      </c>
      <c r="I161" s="82" t="s">
        <v>79</v>
      </c>
    </row>
    <row r="162" spans="1:9">
      <c r="A162" s="79" t="s">
        <v>61</v>
      </c>
      <c r="B162" s="79" t="s">
        <v>245</v>
      </c>
      <c r="C162" s="79" t="s">
        <v>246</v>
      </c>
      <c r="D162" s="80" t="s">
        <v>247</v>
      </c>
      <c r="E162" s="79" t="s">
        <v>203</v>
      </c>
      <c r="F162" s="79" t="s">
        <v>204</v>
      </c>
      <c r="G162" s="79"/>
      <c r="H162" s="82" t="s">
        <v>70</v>
      </c>
      <c r="I162" s="82" t="s">
        <v>209</v>
      </c>
    </row>
    <row r="163" spans="1:9">
      <c r="A163" s="79" t="s">
        <v>61</v>
      </c>
      <c r="B163" s="79">
        <v>9</v>
      </c>
      <c r="C163" s="113" t="s">
        <v>379</v>
      </c>
      <c r="D163" s="114" t="s">
        <v>380</v>
      </c>
      <c r="E163" s="79" t="s">
        <v>363</v>
      </c>
      <c r="F163" s="79" t="s">
        <v>368</v>
      </c>
      <c r="G163" s="79"/>
      <c r="H163" s="82" t="s">
        <v>70</v>
      </c>
      <c r="I163" s="82" t="s">
        <v>369</v>
      </c>
    </row>
    <row r="164" spans="1:9">
      <c r="A164" s="79" t="s">
        <v>61</v>
      </c>
      <c r="B164" s="79" t="s">
        <v>468</v>
      </c>
      <c r="C164" s="79" t="s">
        <v>469</v>
      </c>
      <c r="D164" s="80" t="s">
        <v>470</v>
      </c>
      <c r="E164" s="79" t="s">
        <v>414</v>
      </c>
      <c r="F164" s="79" t="s">
        <v>415</v>
      </c>
      <c r="G164" s="79"/>
      <c r="H164" s="82" t="s">
        <v>70</v>
      </c>
      <c r="I164" s="82" t="s">
        <v>209</v>
      </c>
    </row>
    <row r="165" spans="1:9">
      <c r="A165" s="79" t="s">
        <v>61</v>
      </c>
      <c r="B165" s="79" t="s">
        <v>471</v>
      </c>
      <c r="C165" s="79" t="s">
        <v>472</v>
      </c>
      <c r="D165" s="80" t="s">
        <v>473</v>
      </c>
      <c r="E165" s="79" t="s">
        <v>414</v>
      </c>
      <c r="F165" s="79" t="s">
        <v>415</v>
      </c>
      <c r="G165" s="79"/>
      <c r="H165" s="82" t="s">
        <v>70</v>
      </c>
      <c r="I165" s="82" t="s">
        <v>79</v>
      </c>
    </row>
    <row r="166" spans="1:9">
      <c r="A166" s="79" t="s">
        <v>61</v>
      </c>
      <c r="B166" s="79" t="s">
        <v>716</v>
      </c>
      <c r="C166" s="79" t="s">
        <v>717</v>
      </c>
      <c r="D166" s="80" t="s">
        <v>718</v>
      </c>
      <c r="E166" s="79" t="s">
        <v>363</v>
      </c>
      <c r="F166" s="79" t="s">
        <v>364</v>
      </c>
      <c r="G166" s="79"/>
      <c r="H166" s="82" t="s">
        <v>70</v>
      </c>
      <c r="I166" s="82" t="s">
        <v>79</v>
      </c>
    </row>
  </sheetData>
  <sheetProtection selectLockedCells="1"/>
  <conditionalFormatting sqref="B156:B159 B127:B129 B1:B14 B142 B144 B146:B153 B103:B116 B25:B67 B16:B23 B69:B99 B161:B1048576 B118:B125">
    <cfRule type="duplicateValues" dxfId="14" priority="7"/>
  </conditionalFormatting>
  <conditionalFormatting sqref="C2:C9 C16:C22 C25:C67 C69:C99 C103:C116 C127:C153 C11:C14 C118:C125">
    <cfRule type="duplicateValues" dxfId="13" priority="8"/>
  </conditionalFormatting>
  <conditionalFormatting sqref="D1:D166">
    <cfRule type="duplicateValues" dxfId="12" priority="9"/>
  </conditionalFormatting>
  <conditionalFormatting sqref="D1:D1048576">
    <cfRule type="duplicateValues" dxfId="11" priority="1"/>
    <cfRule type="duplicateValues" dxfId="10" priority="2"/>
    <cfRule type="duplicateValues" dxfId="9" priority="5"/>
    <cfRule type="duplicateValues" dxfId="8" priority="6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&amp;L_x000D_&amp;1#&amp;"Aptos"&amp;10&amp;K000000 Uso Corporativo</oddFooter>
  </headerFooter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8244F-D747-4185-A5CA-17D33A790384}">
  <dimension ref="A1:J160"/>
  <sheetViews>
    <sheetView showGridLines="0" topLeftCell="A7" workbookViewId="0">
      <selection activeCell="Q30" sqref="Q30"/>
    </sheetView>
  </sheetViews>
  <sheetFormatPr defaultRowHeight="15"/>
  <cols>
    <col min="1" max="1" width="7" bestFit="1" customWidth="1"/>
    <col min="2" max="2" width="12.7109375" customWidth="1"/>
    <col min="3" max="3" width="12.28515625" customWidth="1"/>
    <col min="4" max="4" width="28.7109375" bestFit="1" customWidth="1"/>
    <col min="5" max="5" width="28.5703125" customWidth="1"/>
    <col min="6" max="6" width="17.7109375" customWidth="1"/>
    <col min="7" max="7" width="17.85546875" style="77" customWidth="1"/>
    <col min="8" max="8" width="17" customWidth="1"/>
    <col min="9" max="9" width="24.42578125" customWidth="1"/>
    <col min="10" max="10" width="19" customWidth="1"/>
  </cols>
  <sheetData>
    <row r="1" spans="1:10">
      <c r="A1" s="92" t="s">
        <v>38</v>
      </c>
      <c r="B1" s="92" t="s">
        <v>39</v>
      </c>
      <c r="C1" s="92" t="s">
        <v>40</v>
      </c>
      <c r="D1" s="92" t="s">
        <v>41</v>
      </c>
      <c r="E1" s="92" t="s">
        <v>44</v>
      </c>
      <c r="F1" s="92" t="s">
        <v>45</v>
      </c>
      <c r="G1" s="286" t="s">
        <v>886</v>
      </c>
      <c r="H1" s="93" t="s">
        <v>887</v>
      </c>
      <c r="I1" s="78" t="s">
        <v>56</v>
      </c>
      <c r="J1" s="78" t="s">
        <v>57</v>
      </c>
    </row>
    <row r="2" spans="1:10">
      <c r="A2" s="287" t="s">
        <v>61</v>
      </c>
      <c r="B2" s="287" t="s">
        <v>62</v>
      </c>
      <c r="C2" s="287" t="s">
        <v>63</v>
      </c>
      <c r="D2" s="288" t="s">
        <v>64</v>
      </c>
      <c r="E2" s="287" t="s">
        <v>67</v>
      </c>
      <c r="F2" s="287" t="s">
        <v>68</v>
      </c>
      <c r="G2" s="283"/>
      <c r="H2" s="81"/>
      <c r="I2" s="82" t="s">
        <v>70</v>
      </c>
      <c r="J2" s="82" t="s">
        <v>71</v>
      </c>
    </row>
    <row r="3" spans="1:10">
      <c r="A3" s="287" t="s">
        <v>61</v>
      </c>
      <c r="B3" s="289" t="s">
        <v>74</v>
      </c>
      <c r="C3" s="287" t="s">
        <v>75</v>
      </c>
      <c r="D3" s="290" t="s">
        <v>76</v>
      </c>
      <c r="E3" s="287" t="s">
        <v>67</v>
      </c>
      <c r="F3" s="291" t="s">
        <v>78</v>
      </c>
      <c r="G3" s="284"/>
      <c r="H3" s="81"/>
      <c r="I3" s="82" t="s">
        <v>70</v>
      </c>
      <c r="J3" s="82" t="s">
        <v>79</v>
      </c>
    </row>
    <row r="4" spans="1:10">
      <c r="A4" s="287" t="s">
        <v>61</v>
      </c>
      <c r="B4" s="287" t="s">
        <v>81</v>
      </c>
      <c r="C4" s="287" t="s">
        <v>82</v>
      </c>
      <c r="D4" s="288" t="s">
        <v>83</v>
      </c>
      <c r="E4" s="287" t="s">
        <v>67</v>
      </c>
      <c r="F4" s="291" t="s">
        <v>78</v>
      </c>
      <c r="G4" s="283"/>
      <c r="H4" s="81"/>
      <c r="I4" s="82" t="s">
        <v>70</v>
      </c>
      <c r="J4" s="82" t="s">
        <v>79</v>
      </c>
    </row>
    <row r="5" spans="1:10">
      <c r="A5" s="287" t="s">
        <v>61</v>
      </c>
      <c r="B5" s="287" t="s">
        <v>733</v>
      </c>
      <c r="C5" s="287" t="s">
        <v>734</v>
      </c>
      <c r="D5" s="288" t="s">
        <v>735</v>
      </c>
      <c r="E5" s="287" t="s">
        <v>67</v>
      </c>
      <c r="F5" s="287" t="s">
        <v>78</v>
      </c>
      <c r="G5" s="283"/>
      <c r="H5" s="81"/>
      <c r="I5" s="82" t="s">
        <v>70</v>
      </c>
      <c r="J5" s="82" t="s">
        <v>79</v>
      </c>
    </row>
    <row r="6" spans="1:10">
      <c r="A6" s="287" t="s">
        <v>61</v>
      </c>
      <c r="B6" s="287" t="s">
        <v>85</v>
      </c>
      <c r="C6" s="287" t="s">
        <v>86</v>
      </c>
      <c r="D6" s="288" t="s">
        <v>87</v>
      </c>
      <c r="E6" s="287" t="s">
        <v>67</v>
      </c>
      <c r="F6" s="287" t="s">
        <v>78</v>
      </c>
      <c r="G6" s="283"/>
      <c r="H6" s="81"/>
      <c r="I6" s="82" t="s">
        <v>70</v>
      </c>
      <c r="J6" s="82" t="s">
        <v>79</v>
      </c>
    </row>
    <row r="7" spans="1:10">
      <c r="A7" s="287" t="s">
        <v>61</v>
      </c>
      <c r="B7" s="287" t="s">
        <v>90</v>
      </c>
      <c r="C7" s="287" t="s">
        <v>91</v>
      </c>
      <c r="D7" s="288" t="s">
        <v>92</v>
      </c>
      <c r="E7" s="287" t="s">
        <v>67</v>
      </c>
      <c r="F7" s="287" t="s">
        <v>78</v>
      </c>
      <c r="G7" s="283"/>
      <c r="H7" s="81"/>
      <c r="I7" s="82" t="s">
        <v>70</v>
      </c>
      <c r="J7" s="82" t="s">
        <v>79</v>
      </c>
    </row>
    <row r="8" spans="1:10">
      <c r="A8" s="287" t="s">
        <v>61</v>
      </c>
      <c r="B8" s="287" t="s">
        <v>95</v>
      </c>
      <c r="C8" s="287" t="s">
        <v>96</v>
      </c>
      <c r="D8" s="288" t="s">
        <v>97</v>
      </c>
      <c r="E8" s="287" t="s">
        <v>67</v>
      </c>
      <c r="F8" s="287" t="s">
        <v>78</v>
      </c>
      <c r="G8" s="283"/>
      <c r="H8" s="81"/>
      <c r="I8" s="82" t="s">
        <v>70</v>
      </c>
      <c r="J8" s="82" t="s">
        <v>79</v>
      </c>
    </row>
    <row r="9" spans="1:10">
      <c r="A9" s="287" t="s">
        <v>61</v>
      </c>
      <c r="B9" s="287" t="s">
        <v>98</v>
      </c>
      <c r="C9" s="287" t="s">
        <v>99</v>
      </c>
      <c r="D9" s="288" t="s">
        <v>100</v>
      </c>
      <c r="E9" s="287" t="s">
        <v>67</v>
      </c>
      <c r="F9" s="291" t="s">
        <v>364</v>
      </c>
      <c r="G9" s="283"/>
      <c r="H9" s="81"/>
      <c r="I9" s="82" t="s">
        <v>70</v>
      </c>
      <c r="J9" s="82" t="s">
        <v>79</v>
      </c>
    </row>
    <row r="10" spans="1:10">
      <c r="A10" s="287" t="s">
        <v>61</v>
      </c>
      <c r="B10" s="287" t="s">
        <v>101</v>
      </c>
      <c r="C10" s="287" t="s">
        <v>102</v>
      </c>
      <c r="D10" s="288" t="s">
        <v>103</v>
      </c>
      <c r="E10" s="287" t="s">
        <v>67</v>
      </c>
      <c r="F10" s="287" t="s">
        <v>93</v>
      </c>
      <c r="G10" s="283"/>
      <c r="H10" s="81"/>
      <c r="I10" s="82" t="s">
        <v>70</v>
      </c>
      <c r="J10" s="82" t="s">
        <v>104</v>
      </c>
    </row>
    <row r="11" spans="1:10">
      <c r="A11" s="287" t="s">
        <v>61</v>
      </c>
      <c r="B11" s="287" t="s">
        <v>105</v>
      </c>
      <c r="C11" s="287" t="s">
        <v>106</v>
      </c>
      <c r="D11" s="288" t="s">
        <v>107</v>
      </c>
      <c r="E11" s="287" t="s">
        <v>67</v>
      </c>
      <c r="F11" s="287" t="s">
        <v>93</v>
      </c>
      <c r="G11" s="283"/>
      <c r="H11" s="81"/>
      <c r="I11" s="82" t="s">
        <v>70</v>
      </c>
      <c r="J11" s="82" t="s">
        <v>104</v>
      </c>
    </row>
    <row r="12" spans="1:10">
      <c r="A12" s="287" t="s">
        <v>61</v>
      </c>
      <c r="B12" s="287" t="s">
        <v>108</v>
      </c>
      <c r="C12" s="287" t="s">
        <v>109</v>
      </c>
      <c r="D12" s="288" t="s">
        <v>110</v>
      </c>
      <c r="E12" s="287" t="s">
        <v>67</v>
      </c>
      <c r="F12" s="287" t="s">
        <v>78</v>
      </c>
      <c r="G12" s="283"/>
      <c r="H12" s="81"/>
      <c r="I12" s="82" t="s">
        <v>70</v>
      </c>
      <c r="J12" s="82" t="s">
        <v>79</v>
      </c>
    </row>
    <row r="13" spans="1:10">
      <c r="A13" s="287" t="s">
        <v>61</v>
      </c>
      <c r="B13" s="287" t="s">
        <v>111</v>
      </c>
      <c r="C13" s="287" t="s">
        <v>112</v>
      </c>
      <c r="D13" s="288" t="s">
        <v>113</v>
      </c>
      <c r="E13" s="287" t="s">
        <v>67</v>
      </c>
      <c r="F13" s="287" t="s">
        <v>93</v>
      </c>
      <c r="G13" s="283"/>
      <c r="H13" s="81"/>
      <c r="I13" s="82" t="s">
        <v>70</v>
      </c>
      <c r="J13" s="82" t="s">
        <v>104</v>
      </c>
    </row>
    <row r="14" spans="1:10">
      <c r="A14" s="287" t="s">
        <v>61</v>
      </c>
      <c r="B14" s="287" t="s">
        <v>114</v>
      </c>
      <c r="C14" s="287" t="s">
        <v>115</v>
      </c>
      <c r="D14" s="288" t="s">
        <v>116</v>
      </c>
      <c r="E14" s="287" t="s">
        <v>117</v>
      </c>
      <c r="F14" s="287" t="s">
        <v>118</v>
      </c>
      <c r="G14" s="283"/>
      <c r="H14" s="81"/>
      <c r="I14" s="82" t="s">
        <v>119</v>
      </c>
      <c r="J14" s="82" t="s">
        <v>120</v>
      </c>
    </row>
    <row r="15" spans="1:10">
      <c r="A15" s="287" t="s">
        <v>61</v>
      </c>
      <c r="B15" s="287" t="s">
        <v>121</v>
      </c>
      <c r="C15" s="292" t="s">
        <v>122</v>
      </c>
      <c r="D15" s="288" t="s">
        <v>123</v>
      </c>
      <c r="E15" s="287" t="s">
        <v>117</v>
      </c>
      <c r="F15" s="287" t="s">
        <v>118</v>
      </c>
      <c r="G15" s="283"/>
      <c r="H15" s="81"/>
      <c r="I15" s="82" t="s">
        <v>119</v>
      </c>
      <c r="J15" s="82" t="s">
        <v>124</v>
      </c>
    </row>
    <row r="16" spans="1:10">
      <c r="A16" s="287" t="s">
        <v>61</v>
      </c>
      <c r="B16" s="293" t="s">
        <v>125</v>
      </c>
      <c r="C16" s="293" t="s">
        <v>126</v>
      </c>
      <c r="D16" s="294" t="s">
        <v>127</v>
      </c>
      <c r="E16" s="287" t="s">
        <v>117</v>
      </c>
      <c r="F16" s="287" t="s">
        <v>118</v>
      </c>
      <c r="G16" s="283"/>
      <c r="H16" s="81"/>
      <c r="I16" s="82" t="s">
        <v>119</v>
      </c>
      <c r="J16" s="82" t="s">
        <v>129</v>
      </c>
    </row>
    <row r="17" spans="1:10">
      <c r="A17" s="287" t="s">
        <v>61</v>
      </c>
      <c r="B17" s="287" t="s">
        <v>130</v>
      </c>
      <c r="C17" s="287" t="s">
        <v>131</v>
      </c>
      <c r="D17" s="288" t="s">
        <v>132</v>
      </c>
      <c r="E17" s="287" t="s">
        <v>117</v>
      </c>
      <c r="F17" s="287" t="s">
        <v>118</v>
      </c>
      <c r="G17" s="283"/>
      <c r="H17" s="81"/>
      <c r="I17" s="82" t="s">
        <v>119</v>
      </c>
      <c r="J17" s="82" t="s">
        <v>133</v>
      </c>
    </row>
    <row r="18" spans="1:10">
      <c r="A18" s="287" t="s">
        <v>61</v>
      </c>
      <c r="B18" s="289" t="s">
        <v>134</v>
      </c>
      <c r="C18" s="287" t="s">
        <v>135</v>
      </c>
      <c r="D18" s="290" t="s">
        <v>136</v>
      </c>
      <c r="E18" s="287" t="s">
        <v>117</v>
      </c>
      <c r="F18" s="295" t="s">
        <v>137</v>
      </c>
      <c r="G18" s="285"/>
      <c r="H18" s="81"/>
      <c r="I18" s="82" t="s">
        <v>119</v>
      </c>
      <c r="J18" s="82" t="s">
        <v>133</v>
      </c>
    </row>
    <row r="19" spans="1:10">
      <c r="A19" s="287" t="s">
        <v>61</v>
      </c>
      <c r="B19" s="287">
        <v>2</v>
      </c>
      <c r="C19" s="289" t="s">
        <v>138</v>
      </c>
      <c r="D19" s="290" t="s">
        <v>139</v>
      </c>
      <c r="E19" s="287" t="s">
        <v>117</v>
      </c>
      <c r="F19" s="295" t="s">
        <v>137</v>
      </c>
      <c r="G19" s="285"/>
      <c r="H19" s="81"/>
      <c r="I19" s="82" t="s">
        <v>119</v>
      </c>
      <c r="J19" s="82" t="s">
        <v>120</v>
      </c>
    </row>
    <row r="20" spans="1:10">
      <c r="A20" s="287" t="s">
        <v>61</v>
      </c>
      <c r="B20" s="287" t="s">
        <v>140</v>
      </c>
      <c r="C20" s="287" t="s">
        <v>141</v>
      </c>
      <c r="D20" s="288" t="s">
        <v>142</v>
      </c>
      <c r="E20" s="287" t="s">
        <v>117</v>
      </c>
      <c r="F20" s="295" t="s">
        <v>137</v>
      </c>
      <c r="G20" s="283"/>
      <c r="H20" s="81"/>
      <c r="I20" s="82" t="s">
        <v>119</v>
      </c>
      <c r="J20" s="82" t="s">
        <v>133</v>
      </c>
    </row>
    <row r="21" spans="1:10">
      <c r="A21" s="287" t="s">
        <v>61</v>
      </c>
      <c r="B21" s="287" t="s">
        <v>144</v>
      </c>
      <c r="C21" s="287" t="s">
        <v>145</v>
      </c>
      <c r="D21" s="288" t="s">
        <v>146</v>
      </c>
      <c r="E21" s="287" t="s">
        <v>117</v>
      </c>
      <c r="F21" s="295" t="s">
        <v>137</v>
      </c>
      <c r="G21" s="283"/>
      <c r="H21" s="81"/>
      <c r="I21" s="82" t="s">
        <v>119</v>
      </c>
      <c r="J21" s="82" t="s">
        <v>133</v>
      </c>
    </row>
    <row r="22" spans="1:10">
      <c r="A22" s="287" t="s">
        <v>61</v>
      </c>
      <c r="B22" s="287" t="s">
        <v>148</v>
      </c>
      <c r="C22" s="287" t="s">
        <v>149</v>
      </c>
      <c r="D22" s="288" t="s">
        <v>150</v>
      </c>
      <c r="E22" s="287" t="s">
        <v>117</v>
      </c>
      <c r="F22" s="295" t="s">
        <v>137</v>
      </c>
      <c r="G22" s="283"/>
      <c r="H22" s="81"/>
      <c r="I22" s="82" t="s">
        <v>119</v>
      </c>
      <c r="J22" s="82" t="s">
        <v>133</v>
      </c>
    </row>
    <row r="23" spans="1:10">
      <c r="A23" s="287" t="s">
        <v>61</v>
      </c>
      <c r="B23" s="289" t="s">
        <v>151</v>
      </c>
      <c r="C23" s="296" t="s">
        <v>152</v>
      </c>
      <c r="D23" s="290" t="s">
        <v>153</v>
      </c>
      <c r="E23" s="287" t="s">
        <v>117</v>
      </c>
      <c r="F23" s="295" t="s">
        <v>137</v>
      </c>
      <c r="G23" s="285"/>
      <c r="H23" s="81"/>
      <c r="I23" s="82" t="s">
        <v>119</v>
      </c>
      <c r="J23" s="82" t="s">
        <v>133</v>
      </c>
    </row>
    <row r="24" spans="1:10">
      <c r="A24" s="287" t="s">
        <v>61</v>
      </c>
      <c r="B24" s="289" t="s">
        <v>154</v>
      </c>
      <c r="C24" s="296" t="s">
        <v>155</v>
      </c>
      <c r="D24" s="290" t="s">
        <v>156</v>
      </c>
      <c r="E24" s="287" t="s">
        <v>117</v>
      </c>
      <c r="F24" s="295" t="s">
        <v>137</v>
      </c>
      <c r="G24" s="284"/>
      <c r="H24" s="81"/>
      <c r="I24" s="82" t="s">
        <v>119</v>
      </c>
      <c r="J24" s="82" t="s">
        <v>120</v>
      </c>
    </row>
    <row r="25" spans="1:10">
      <c r="A25" s="287" t="s">
        <v>61</v>
      </c>
      <c r="B25" s="289" t="s">
        <v>736</v>
      </c>
      <c r="C25" s="287" t="s">
        <v>737</v>
      </c>
      <c r="D25" s="290" t="s">
        <v>738</v>
      </c>
      <c r="E25" s="287" t="s">
        <v>117</v>
      </c>
      <c r="F25" s="295" t="s">
        <v>118</v>
      </c>
      <c r="G25" s="285"/>
      <c r="H25" s="81"/>
      <c r="I25" s="82" t="s">
        <v>119</v>
      </c>
      <c r="J25" s="82" t="s">
        <v>133</v>
      </c>
    </row>
    <row r="26" spans="1:10">
      <c r="A26" s="287" t="s">
        <v>61</v>
      </c>
      <c r="B26" s="289" t="s">
        <v>157</v>
      </c>
      <c r="C26" s="287" t="s">
        <v>157</v>
      </c>
      <c r="D26" s="290" t="s">
        <v>158</v>
      </c>
      <c r="E26" s="287" t="s">
        <v>117</v>
      </c>
      <c r="F26" s="295" t="s">
        <v>137</v>
      </c>
      <c r="G26" s="284"/>
      <c r="H26" s="81"/>
      <c r="I26" s="82" t="s">
        <v>119</v>
      </c>
      <c r="J26" s="82" t="s">
        <v>133</v>
      </c>
    </row>
    <row r="27" spans="1:10">
      <c r="A27" s="287" t="s">
        <v>61</v>
      </c>
      <c r="B27" s="287" t="s">
        <v>160</v>
      </c>
      <c r="C27" s="287" t="s">
        <v>161</v>
      </c>
      <c r="D27" s="288" t="s">
        <v>162</v>
      </c>
      <c r="E27" s="287" t="s">
        <v>117</v>
      </c>
      <c r="F27" s="287" t="s">
        <v>163</v>
      </c>
      <c r="G27" s="283"/>
      <c r="H27" s="81"/>
      <c r="I27" s="82" t="s">
        <v>119</v>
      </c>
      <c r="J27" s="82" t="s">
        <v>164</v>
      </c>
    </row>
    <row r="28" spans="1:10">
      <c r="A28" s="287" t="s">
        <v>61</v>
      </c>
      <c r="B28" s="287" t="s">
        <v>165</v>
      </c>
      <c r="C28" s="287" t="s">
        <v>166</v>
      </c>
      <c r="D28" s="288" t="s">
        <v>167</v>
      </c>
      <c r="E28" s="287" t="s">
        <v>117</v>
      </c>
      <c r="F28" s="287" t="s">
        <v>163</v>
      </c>
      <c r="G28" s="283"/>
      <c r="H28" s="81"/>
      <c r="I28" s="82" t="s">
        <v>119</v>
      </c>
      <c r="J28" s="82" t="s">
        <v>164</v>
      </c>
    </row>
    <row r="29" spans="1:10">
      <c r="A29" s="287" t="s">
        <v>61</v>
      </c>
      <c r="B29" s="287" t="s">
        <v>169</v>
      </c>
      <c r="C29" s="287" t="s">
        <v>170</v>
      </c>
      <c r="D29" s="288" t="s">
        <v>171</v>
      </c>
      <c r="E29" s="287" t="s">
        <v>117</v>
      </c>
      <c r="F29" s="287" t="s">
        <v>163</v>
      </c>
      <c r="G29" s="283"/>
      <c r="H29" s="81"/>
      <c r="I29" s="82" t="s">
        <v>119</v>
      </c>
      <c r="J29" s="82" t="s">
        <v>164</v>
      </c>
    </row>
    <row r="30" spans="1:10">
      <c r="A30" s="287" t="s">
        <v>61</v>
      </c>
      <c r="B30" s="287" t="s">
        <v>172</v>
      </c>
      <c r="C30" s="287" t="s">
        <v>173</v>
      </c>
      <c r="D30" s="288" t="s">
        <v>174</v>
      </c>
      <c r="E30" s="287" t="s">
        <v>117</v>
      </c>
      <c r="F30" s="287" t="s">
        <v>163</v>
      </c>
      <c r="G30" s="283"/>
      <c r="H30" s="81"/>
      <c r="I30" s="82" t="s">
        <v>119</v>
      </c>
      <c r="J30" s="82" t="s">
        <v>164</v>
      </c>
    </row>
    <row r="31" spans="1:10">
      <c r="A31" s="287" t="s">
        <v>61</v>
      </c>
      <c r="B31" s="287" t="s">
        <v>176</v>
      </c>
      <c r="C31" s="287" t="s">
        <v>177</v>
      </c>
      <c r="D31" s="288" t="s">
        <v>178</v>
      </c>
      <c r="E31" s="287" t="s">
        <v>117</v>
      </c>
      <c r="F31" s="287" t="s">
        <v>179</v>
      </c>
      <c r="G31" s="283"/>
      <c r="H31" s="81"/>
      <c r="I31" s="82" t="s">
        <v>119</v>
      </c>
      <c r="J31" s="82" t="s">
        <v>180</v>
      </c>
    </row>
    <row r="32" spans="1:10">
      <c r="A32" s="287" t="s">
        <v>61</v>
      </c>
      <c r="B32" s="287" t="s">
        <v>181</v>
      </c>
      <c r="C32" s="287" t="s">
        <v>182</v>
      </c>
      <c r="D32" s="288" t="s">
        <v>183</v>
      </c>
      <c r="E32" s="287" t="s">
        <v>117</v>
      </c>
      <c r="F32" s="287" t="s">
        <v>179</v>
      </c>
      <c r="G32" s="283"/>
      <c r="H32" s="81"/>
      <c r="I32" s="82" t="s">
        <v>119</v>
      </c>
      <c r="J32" s="82" t="s">
        <v>184</v>
      </c>
    </row>
    <row r="33" spans="1:10">
      <c r="A33" s="287" t="s">
        <v>61</v>
      </c>
      <c r="B33" s="287" t="s">
        <v>185</v>
      </c>
      <c r="C33" s="287" t="s">
        <v>186</v>
      </c>
      <c r="D33" s="288" t="s">
        <v>870</v>
      </c>
      <c r="E33" s="287" t="s">
        <v>117</v>
      </c>
      <c r="F33" s="287" t="s">
        <v>188</v>
      </c>
      <c r="G33" s="283"/>
      <c r="H33" s="81"/>
      <c r="I33" s="82" t="s">
        <v>119</v>
      </c>
      <c r="J33" s="82" t="s">
        <v>164</v>
      </c>
    </row>
    <row r="34" spans="1:10">
      <c r="A34" s="287" t="s">
        <v>61</v>
      </c>
      <c r="B34" s="287" t="s">
        <v>189</v>
      </c>
      <c r="C34" s="287" t="s">
        <v>190</v>
      </c>
      <c r="D34" s="288" t="s">
        <v>191</v>
      </c>
      <c r="E34" s="287" t="s">
        <v>117</v>
      </c>
      <c r="F34" s="287" t="s">
        <v>179</v>
      </c>
      <c r="G34" s="283"/>
      <c r="H34" s="139" t="s">
        <v>17</v>
      </c>
      <c r="I34" s="82" t="s">
        <v>70</v>
      </c>
      <c r="J34" s="82" t="s">
        <v>184</v>
      </c>
    </row>
    <row r="35" spans="1:10">
      <c r="A35" s="287" t="s">
        <v>61</v>
      </c>
      <c r="B35" s="287" t="s">
        <v>194</v>
      </c>
      <c r="C35" s="287" t="s">
        <v>195</v>
      </c>
      <c r="D35" s="288" t="s">
        <v>196</v>
      </c>
      <c r="E35" s="287" t="s">
        <v>117</v>
      </c>
      <c r="F35" s="287" t="s">
        <v>163</v>
      </c>
      <c r="G35" s="283"/>
      <c r="H35" s="81"/>
      <c r="I35" s="82" t="s">
        <v>119</v>
      </c>
      <c r="J35" s="82" t="s">
        <v>164</v>
      </c>
    </row>
    <row r="36" spans="1:10">
      <c r="A36" s="287" t="s">
        <v>61</v>
      </c>
      <c r="B36" s="287" t="s">
        <v>197</v>
      </c>
      <c r="C36" s="287" t="s">
        <v>198</v>
      </c>
      <c r="D36" s="288" t="s">
        <v>199</v>
      </c>
      <c r="E36" s="287" t="s">
        <v>117</v>
      </c>
      <c r="F36" s="295" t="s">
        <v>118</v>
      </c>
      <c r="G36" s="283"/>
      <c r="H36" s="81"/>
      <c r="I36" s="82" t="s">
        <v>119</v>
      </c>
      <c r="J36" s="82" t="s">
        <v>124</v>
      </c>
    </row>
    <row r="37" spans="1:10">
      <c r="A37" s="287" t="s">
        <v>61</v>
      </c>
      <c r="B37" s="287" t="s">
        <v>200</v>
      </c>
      <c r="C37" s="287" t="s">
        <v>201</v>
      </c>
      <c r="D37" s="288" t="s">
        <v>202</v>
      </c>
      <c r="E37" s="287" t="s">
        <v>203</v>
      </c>
      <c r="F37" s="287" t="s">
        <v>204</v>
      </c>
      <c r="G37" s="283"/>
      <c r="H37" s="81"/>
      <c r="I37" s="82" t="s">
        <v>70</v>
      </c>
      <c r="J37" s="82" t="s">
        <v>205</v>
      </c>
    </row>
    <row r="38" spans="1:10">
      <c r="A38" s="287" t="s">
        <v>61</v>
      </c>
      <c r="B38" s="287" t="s">
        <v>206</v>
      </c>
      <c r="C38" s="287" t="s">
        <v>207</v>
      </c>
      <c r="D38" s="288" t="s">
        <v>208</v>
      </c>
      <c r="E38" s="287" t="s">
        <v>203</v>
      </c>
      <c r="F38" s="287" t="s">
        <v>204</v>
      </c>
      <c r="G38" s="283"/>
      <c r="H38" s="81"/>
      <c r="I38" s="82" t="s">
        <v>70</v>
      </c>
      <c r="J38" s="82" t="s">
        <v>209</v>
      </c>
    </row>
    <row r="39" spans="1:10">
      <c r="A39" s="287" t="s">
        <v>61</v>
      </c>
      <c r="B39" s="287" t="s">
        <v>210</v>
      </c>
      <c r="C39" s="287" t="s">
        <v>211</v>
      </c>
      <c r="D39" s="288" t="s">
        <v>212</v>
      </c>
      <c r="E39" s="287" t="s">
        <v>203</v>
      </c>
      <c r="F39" s="287" t="s">
        <v>204</v>
      </c>
      <c r="G39" s="283"/>
      <c r="H39" s="81"/>
      <c r="I39" s="82" t="s">
        <v>70</v>
      </c>
      <c r="J39" s="82" t="s">
        <v>209</v>
      </c>
    </row>
    <row r="40" spans="1:10">
      <c r="A40" s="287" t="s">
        <v>61</v>
      </c>
      <c r="B40" s="287" t="s">
        <v>213</v>
      </c>
      <c r="C40" s="287" t="s">
        <v>214</v>
      </c>
      <c r="D40" s="290" t="s">
        <v>215</v>
      </c>
      <c r="E40" s="287" t="s">
        <v>203</v>
      </c>
      <c r="F40" s="295" t="s">
        <v>204</v>
      </c>
      <c r="G40" s="283"/>
      <c r="H40" s="81"/>
      <c r="I40" s="82" t="s">
        <v>70</v>
      </c>
      <c r="J40" s="82" t="s">
        <v>209</v>
      </c>
    </row>
    <row r="41" spans="1:10">
      <c r="A41" s="287" t="s">
        <v>61</v>
      </c>
      <c r="B41" s="287" t="s">
        <v>217</v>
      </c>
      <c r="C41" s="287" t="s">
        <v>218</v>
      </c>
      <c r="D41" s="288" t="s">
        <v>219</v>
      </c>
      <c r="E41" s="287" t="s">
        <v>203</v>
      </c>
      <c r="F41" s="287" t="s">
        <v>204</v>
      </c>
      <c r="G41" s="283"/>
      <c r="H41" s="81"/>
      <c r="I41" s="82" t="s">
        <v>70</v>
      </c>
      <c r="J41" s="82" t="s">
        <v>79</v>
      </c>
    </row>
    <row r="42" spans="1:10">
      <c r="A42" s="287" t="s">
        <v>61</v>
      </c>
      <c r="B42" s="287" t="s">
        <v>222</v>
      </c>
      <c r="C42" s="287" t="s">
        <v>223</v>
      </c>
      <c r="D42" s="288" t="s">
        <v>224</v>
      </c>
      <c r="E42" s="287" t="s">
        <v>203</v>
      </c>
      <c r="F42" s="287" t="s">
        <v>204</v>
      </c>
      <c r="G42" s="283"/>
      <c r="H42" s="81"/>
      <c r="I42" s="82" t="s">
        <v>70</v>
      </c>
      <c r="J42" s="82" t="s">
        <v>209</v>
      </c>
    </row>
    <row r="43" spans="1:10">
      <c r="A43" s="287" t="s">
        <v>61</v>
      </c>
      <c r="B43" s="287" t="s">
        <v>225</v>
      </c>
      <c r="C43" s="287" t="s">
        <v>226</v>
      </c>
      <c r="D43" s="288" t="s">
        <v>227</v>
      </c>
      <c r="E43" s="287" t="s">
        <v>203</v>
      </c>
      <c r="F43" s="287" t="s">
        <v>204</v>
      </c>
      <c r="G43" s="283"/>
      <c r="H43" s="81"/>
      <c r="I43" s="82" t="s">
        <v>70</v>
      </c>
      <c r="J43" s="82" t="s">
        <v>209</v>
      </c>
    </row>
    <row r="44" spans="1:10">
      <c r="A44" s="287" t="s">
        <v>61</v>
      </c>
      <c r="B44" s="287" t="s">
        <v>228</v>
      </c>
      <c r="C44" s="287" t="s">
        <v>229</v>
      </c>
      <c r="D44" s="288" t="s">
        <v>230</v>
      </c>
      <c r="E44" s="287" t="s">
        <v>203</v>
      </c>
      <c r="F44" s="287" t="s">
        <v>204</v>
      </c>
      <c r="G44" s="283"/>
      <c r="H44" s="81"/>
      <c r="I44" s="82" t="s">
        <v>70</v>
      </c>
      <c r="J44" s="82" t="s">
        <v>209</v>
      </c>
    </row>
    <row r="45" spans="1:10">
      <c r="A45" s="287" t="s">
        <v>61</v>
      </c>
      <c r="B45" s="287" t="s">
        <v>231</v>
      </c>
      <c r="C45" s="287" t="s">
        <v>232</v>
      </c>
      <c r="D45" s="288" t="s">
        <v>233</v>
      </c>
      <c r="E45" s="287" t="s">
        <v>203</v>
      </c>
      <c r="F45" s="287" t="s">
        <v>204</v>
      </c>
      <c r="G45" s="283"/>
      <c r="H45" s="81"/>
      <c r="I45" s="82" t="s">
        <v>70</v>
      </c>
      <c r="J45" s="82" t="s">
        <v>209</v>
      </c>
    </row>
    <row r="46" spans="1:10">
      <c r="A46" s="287" t="s">
        <v>61</v>
      </c>
      <c r="B46" s="287" t="s">
        <v>234</v>
      </c>
      <c r="C46" s="287" t="s">
        <v>235</v>
      </c>
      <c r="D46" s="288" t="s">
        <v>236</v>
      </c>
      <c r="E46" s="287" t="s">
        <v>203</v>
      </c>
      <c r="F46" s="287" t="s">
        <v>204</v>
      </c>
      <c r="G46" s="283"/>
      <c r="H46" s="81"/>
      <c r="I46" s="82" t="s">
        <v>70</v>
      </c>
      <c r="J46" s="82" t="s">
        <v>209</v>
      </c>
    </row>
    <row r="47" spans="1:10">
      <c r="A47" s="287" t="s">
        <v>61</v>
      </c>
      <c r="B47" s="287" t="s">
        <v>237</v>
      </c>
      <c r="C47" s="287" t="s">
        <v>237</v>
      </c>
      <c r="D47" s="290" t="s">
        <v>238</v>
      </c>
      <c r="E47" s="287" t="s">
        <v>203</v>
      </c>
      <c r="F47" s="291" t="s">
        <v>204</v>
      </c>
      <c r="G47" s="283"/>
      <c r="H47" s="81"/>
      <c r="I47" s="82" t="s">
        <v>70</v>
      </c>
      <c r="J47" s="82" t="s">
        <v>209</v>
      </c>
    </row>
    <row r="48" spans="1:10">
      <c r="A48" s="287" t="s">
        <v>61</v>
      </c>
      <c r="B48" s="287" t="s">
        <v>239</v>
      </c>
      <c r="C48" s="287" t="s">
        <v>240</v>
      </c>
      <c r="D48" s="288" t="s">
        <v>241</v>
      </c>
      <c r="E48" s="287" t="s">
        <v>203</v>
      </c>
      <c r="F48" s="287" t="s">
        <v>204</v>
      </c>
      <c r="G48" s="283"/>
      <c r="H48" s="81"/>
      <c r="I48" s="82" t="s">
        <v>70</v>
      </c>
      <c r="J48" s="82" t="s">
        <v>209</v>
      </c>
    </row>
    <row r="49" spans="1:10">
      <c r="A49" s="287" t="s">
        <v>61</v>
      </c>
      <c r="B49" s="287" t="s">
        <v>242</v>
      </c>
      <c r="C49" s="287" t="s">
        <v>243</v>
      </c>
      <c r="D49" s="288" t="s">
        <v>244</v>
      </c>
      <c r="E49" s="287" t="s">
        <v>203</v>
      </c>
      <c r="F49" s="287" t="s">
        <v>204</v>
      </c>
      <c r="G49" s="283"/>
      <c r="H49" s="81"/>
      <c r="I49" s="82" t="s">
        <v>70</v>
      </c>
      <c r="J49" s="82" t="s">
        <v>209</v>
      </c>
    </row>
    <row r="50" spans="1:10">
      <c r="A50" s="287" t="s">
        <v>61</v>
      </c>
      <c r="B50" s="287" t="s">
        <v>745</v>
      </c>
      <c r="C50" s="287" t="s">
        <v>746</v>
      </c>
      <c r="D50" s="288" t="s">
        <v>747</v>
      </c>
      <c r="E50" s="287" t="s">
        <v>203</v>
      </c>
      <c r="F50" s="287" t="s">
        <v>204</v>
      </c>
      <c r="G50" s="283"/>
      <c r="H50" s="81" t="s">
        <v>13</v>
      </c>
      <c r="I50" s="82" t="s">
        <v>70</v>
      </c>
      <c r="J50" s="82" t="s">
        <v>209</v>
      </c>
    </row>
    <row r="51" spans="1:10">
      <c r="A51" s="287" t="s">
        <v>61</v>
      </c>
      <c r="B51" s="287" t="s">
        <v>245</v>
      </c>
      <c r="C51" s="287" t="s">
        <v>246</v>
      </c>
      <c r="D51" s="288" t="s">
        <v>247</v>
      </c>
      <c r="E51" s="287" t="s">
        <v>203</v>
      </c>
      <c r="F51" s="287" t="s">
        <v>204</v>
      </c>
      <c r="G51" s="283"/>
      <c r="H51" s="81"/>
      <c r="I51" s="82" t="s">
        <v>70</v>
      </c>
      <c r="J51" s="82" t="s">
        <v>209</v>
      </c>
    </row>
    <row r="52" spans="1:10">
      <c r="A52" s="287" t="s">
        <v>61</v>
      </c>
      <c r="B52" s="287" t="s">
        <v>249</v>
      </c>
      <c r="C52" s="287" t="s">
        <v>250</v>
      </c>
      <c r="D52" s="288" t="s">
        <v>251</v>
      </c>
      <c r="E52" s="287" t="s">
        <v>203</v>
      </c>
      <c r="F52" s="287" t="s">
        <v>204</v>
      </c>
      <c r="G52" s="283"/>
      <c r="H52" s="81"/>
      <c r="I52" s="82" t="s">
        <v>70</v>
      </c>
      <c r="J52" s="82" t="s">
        <v>79</v>
      </c>
    </row>
    <row r="53" spans="1:10">
      <c r="A53" s="287" t="s">
        <v>61</v>
      </c>
      <c r="B53" s="287" t="s">
        <v>253</v>
      </c>
      <c r="C53" s="287" t="s">
        <v>254</v>
      </c>
      <c r="D53" s="288" t="s">
        <v>255</v>
      </c>
      <c r="E53" s="287" t="s">
        <v>203</v>
      </c>
      <c r="F53" s="287" t="s">
        <v>204</v>
      </c>
      <c r="G53" s="283"/>
      <c r="H53" s="139" t="s">
        <v>17</v>
      </c>
      <c r="I53" s="82" t="s">
        <v>70</v>
      </c>
      <c r="J53" s="82" t="s">
        <v>209</v>
      </c>
    </row>
    <row r="54" spans="1:10">
      <c r="A54" s="287" t="s">
        <v>61</v>
      </c>
      <c r="B54" s="287" t="s">
        <v>257</v>
      </c>
      <c r="C54" s="287" t="s">
        <v>258</v>
      </c>
      <c r="D54" s="288" t="s">
        <v>259</v>
      </c>
      <c r="E54" s="287" t="s">
        <v>203</v>
      </c>
      <c r="F54" s="287" t="s">
        <v>204</v>
      </c>
      <c r="G54" s="283"/>
      <c r="H54" s="81"/>
      <c r="I54" s="82" t="s">
        <v>70</v>
      </c>
      <c r="J54" s="82" t="s">
        <v>209</v>
      </c>
    </row>
    <row r="55" spans="1:10">
      <c r="A55" s="287" t="s">
        <v>61</v>
      </c>
      <c r="B55" s="287" t="s">
        <v>748</v>
      </c>
      <c r="C55" s="287" t="s">
        <v>749</v>
      </c>
      <c r="D55" s="288" t="s">
        <v>750</v>
      </c>
      <c r="E55" s="287" t="s">
        <v>203</v>
      </c>
      <c r="F55" s="287" t="s">
        <v>204</v>
      </c>
      <c r="G55" s="283"/>
      <c r="H55" s="81"/>
      <c r="I55" s="82" t="s">
        <v>70</v>
      </c>
      <c r="J55" s="82" t="s">
        <v>209</v>
      </c>
    </row>
    <row r="56" spans="1:10">
      <c r="A56" s="287" t="s">
        <v>61</v>
      </c>
      <c r="B56" s="287" t="s">
        <v>260</v>
      </c>
      <c r="C56" s="287" t="s">
        <v>261</v>
      </c>
      <c r="D56" s="288" t="s">
        <v>262</v>
      </c>
      <c r="E56" s="287" t="s">
        <v>203</v>
      </c>
      <c r="F56" s="287" t="s">
        <v>204</v>
      </c>
      <c r="G56" s="283"/>
      <c r="H56" s="81"/>
      <c r="I56" s="82" t="s">
        <v>70</v>
      </c>
      <c r="J56" s="82" t="s">
        <v>209</v>
      </c>
    </row>
    <row r="57" spans="1:10">
      <c r="A57" s="287" t="s">
        <v>61</v>
      </c>
      <c r="B57" s="287" t="s">
        <v>263</v>
      </c>
      <c r="C57" s="287" t="s">
        <v>264</v>
      </c>
      <c r="D57" s="288" t="s">
        <v>265</v>
      </c>
      <c r="E57" s="287" t="s">
        <v>266</v>
      </c>
      <c r="F57" s="287" t="s">
        <v>267</v>
      </c>
      <c r="G57" s="283"/>
      <c r="H57" s="102" t="s">
        <v>0</v>
      </c>
      <c r="I57" s="82" t="s">
        <v>119</v>
      </c>
      <c r="J57" s="82" t="s">
        <v>269</v>
      </c>
    </row>
    <row r="58" spans="1:10">
      <c r="A58" s="287" t="s">
        <v>61</v>
      </c>
      <c r="B58" s="287" t="s">
        <v>270</v>
      </c>
      <c r="C58" s="287" t="s">
        <v>271</v>
      </c>
      <c r="D58" s="288" t="s">
        <v>272</v>
      </c>
      <c r="E58" s="287" t="s">
        <v>266</v>
      </c>
      <c r="F58" s="287" t="s">
        <v>273</v>
      </c>
      <c r="G58" s="283"/>
      <c r="H58" s="81"/>
      <c r="I58" s="82" t="s">
        <v>119</v>
      </c>
      <c r="J58" s="82" t="s">
        <v>269</v>
      </c>
    </row>
    <row r="59" spans="1:10">
      <c r="A59" s="287" t="s">
        <v>61</v>
      </c>
      <c r="B59" s="287" t="s">
        <v>274</v>
      </c>
      <c r="C59" s="287" t="s">
        <v>275</v>
      </c>
      <c r="D59" s="288" t="s">
        <v>276</v>
      </c>
      <c r="E59" s="287" t="s">
        <v>266</v>
      </c>
      <c r="F59" s="287" t="s">
        <v>273</v>
      </c>
      <c r="G59" s="283"/>
      <c r="H59" s="81"/>
      <c r="I59" s="82" t="s">
        <v>119</v>
      </c>
      <c r="J59" s="82" t="s">
        <v>269</v>
      </c>
    </row>
    <row r="60" spans="1:10">
      <c r="A60" s="287" t="s">
        <v>61</v>
      </c>
      <c r="B60" s="287" t="s">
        <v>277</v>
      </c>
      <c r="C60" s="287" t="s">
        <v>278</v>
      </c>
      <c r="D60" s="288" t="s">
        <v>279</v>
      </c>
      <c r="E60" s="287" t="s">
        <v>266</v>
      </c>
      <c r="F60" s="287" t="s">
        <v>273</v>
      </c>
      <c r="G60" s="283"/>
      <c r="H60" s="81"/>
      <c r="I60" s="82" t="s">
        <v>119</v>
      </c>
      <c r="J60" s="82" t="s">
        <v>269</v>
      </c>
    </row>
    <row r="61" spans="1:10">
      <c r="A61" s="287" t="s">
        <v>61</v>
      </c>
      <c r="B61" s="287" t="s">
        <v>280</v>
      </c>
      <c r="C61" s="287" t="s">
        <v>281</v>
      </c>
      <c r="D61" s="288" t="s">
        <v>282</v>
      </c>
      <c r="E61" s="287" t="s">
        <v>266</v>
      </c>
      <c r="F61" s="287" t="s">
        <v>273</v>
      </c>
      <c r="G61" s="283"/>
      <c r="H61" s="81"/>
      <c r="I61" s="82" t="s">
        <v>119</v>
      </c>
      <c r="J61" s="82" t="s">
        <v>269</v>
      </c>
    </row>
    <row r="62" spans="1:10">
      <c r="A62" s="287" t="s">
        <v>61</v>
      </c>
      <c r="B62" s="287" t="s">
        <v>283</v>
      </c>
      <c r="C62" s="287" t="s">
        <v>284</v>
      </c>
      <c r="D62" s="288" t="s">
        <v>285</v>
      </c>
      <c r="E62" s="287" t="s">
        <v>266</v>
      </c>
      <c r="F62" s="287" t="s">
        <v>267</v>
      </c>
      <c r="G62" s="283"/>
      <c r="H62" s="81"/>
      <c r="I62" s="82" t="s">
        <v>119</v>
      </c>
      <c r="J62" s="82" t="s">
        <v>269</v>
      </c>
    </row>
    <row r="63" spans="1:10">
      <c r="A63" s="287" t="s">
        <v>61</v>
      </c>
      <c r="B63" s="287" t="s">
        <v>286</v>
      </c>
      <c r="C63" s="287" t="s">
        <v>287</v>
      </c>
      <c r="D63" s="288" t="s">
        <v>288</v>
      </c>
      <c r="E63" s="287" t="s">
        <v>266</v>
      </c>
      <c r="F63" s="287" t="s">
        <v>267</v>
      </c>
      <c r="G63" s="283"/>
      <c r="H63" s="81"/>
      <c r="I63" s="82" t="s">
        <v>119</v>
      </c>
      <c r="J63" s="82" t="s">
        <v>269</v>
      </c>
    </row>
    <row r="64" spans="1:10">
      <c r="A64" s="287" t="s">
        <v>61</v>
      </c>
      <c r="B64" s="287" t="s">
        <v>289</v>
      </c>
      <c r="C64" s="287" t="s">
        <v>290</v>
      </c>
      <c r="D64" s="288" t="s">
        <v>291</v>
      </c>
      <c r="E64" s="287" t="s">
        <v>266</v>
      </c>
      <c r="F64" s="287" t="s">
        <v>267</v>
      </c>
      <c r="G64" s="283"/>
      <c r="H64" s="81"/>
      <c r="I64" s="82" t="s">
        <v>119</v>
      </c>
      <c r="J64" s="82" t="s">
        <v>180</v>
      </c>
    </row>
    <row r="65" spans="1:10">
      <c r="A65" s="287" t="s">
        <v>61</v>
      </c>
      <c r="B65" s="287" t="s">
        <v>292</v>
      </c>
      <c r="C65" s="287" t="s">
        <v>293</v>
      </c>
      <c r="D65" s="288" t="s">
        <v>294</v>
      </c>
      <c r="E65" s="287" t="s">
        <v>266</v>
      </c>
      <c r="F65" s="287" t="s">
        <v>267</v>
      </c>
      <c r="G65" s="283"/>
      <c r="H65" s="81"/>
      <c r="I65" s="82" t="s">
        <v>119</v>
      </c>
      <c r="J65" s="82" t="s">
        <v>133</v>
      </c>
    </row>
    <row r="66" spans="1:10">
      <c r="A66" s="287" t="s">
        <v>61</v>
      </c>
      <c r="B66" s="287" t="s">
        <v>295</v>
      </c>
      <c r="C66" s="287" t="s">
        <v>296</v>
      </c>
      <c r="D66" s="288" t="s">
        <v>297</v>
      </c>
      <c r="E66" s="287" t="s">
        <v>266</v>
      </c>
      <c r="F66" s="287" t="s">
        <v>267</v>
      </c>
      <c r="G66" s="283"/>
      <c r="H66" s="81"/>
      <c r="I66" s="82" t="s">
        <v>119</v>
      </c>
      <c r="J66" s="82" t="s">
        <v>180</v>
      </c>
    </row>
    <row r="67" spans="1:10">
      <c r="A67" s="287" t="s">
        <v>61</v>
      </c>
      <c r="B67" s="287" t="s">
        <v>298</v>
      </c>
      <c r="C67" s="292" t="s">
        <v>299</v>
      </c>
      <c r="D67" s="288" t="s">
        <v>300</v>
      </c>
      <c r="E67" s="287" t="s">
        <v>266</v>
      </c>
      <c r="F67" s="287" t="s">
        <v>267</v>
      </c>
      <c r="G67" s="283"/>
      <c r="H67" s="81"/>
      <c r="I67" s="82" t="s">
        <v>119</v>
      </c>
      <c r="J67" s="82" t="s">
        <v>133</v>
      </c>
    </row>
    <row r="68" spans="1:10">
      <c r="A68" s="287" t="s">
        <v>61</v>
      </c>
      <c r="B68" s="287" t="s">
        <v>301</v>
      </c>
      <c r="C68" s="287" t="s">
        <v>302</v>
      </c>
      <c r="D68" s="288" t="s">
        <v>303</v>
      </c>
      <c r="E68" s="287" t="s">
        <v>266</v>
      </c>
      <c r="F68" s="287" t="s">
        <v>267</v>
      </c>
      <c r="G68" s="283"/>
      <c r="H68" s="81"/>
      <c r="I68" s="82" t="s">
        <v>119</v>
      </c>
      <c r="J68" s="82" t="s">
        <v>180</v>
      </c>
    </row>
    <row r="69" spans="1:10">
      <c r="A69" s="287" t="s">
        <v>61</v>
      </c>
      <c r="B69" s="287" t="s">
        <v>304</v>
      </c>
      <c r="C69" s="287" t="s">
        <v>305</v>
      </c>
      <c r="D69" s="288" t="s">
        <v>306</v>
      </c>
      <c r="E69" s="287" t="s">
        <v>266</v>
      </c>
      <c r="F69" s="287" t="s">
        <v>273</v>
      </c>
      <c r="G69" s="283"/>
      <c r="H69" s="139" t="s">
        <v>17</v>
      </c>
      <c r="I69" s="82" t="s">
        <v>70</v>
      </c>
      <c r="J69" s="82" t="s">
        <v>269</v>
      </c>
    </row>
    <row r="70" spans="1:10">
      <c r="A70" s="287" t="s">
        <v>61</v>
      </c>
      <c r="B70" s="287" t="s">
        <v>307</v>
      </c>
      <c r="C70" s="287" t="s">
        <v>308</v>
      </c>
      <c r="D70" s="288" t="s">
        <v>309</v>
      </c>
      <c r="E70" s="287" t="s">
        <v>266</v>
      </c>
      <c r="F70" s="287" t="s">
        <v>267</v>
      </c>
      <c r="G70" s="283"/>
      <c r="H70" s="139" t="s">
        <v>17</v>
      </c>
      <c r="I70" s="82" t="s">
        <v>70</v>
      </c>
      <c r="J70" s="82" t="s">
        <v>180</v>
      </c>
    </row>
    <row r="71" spans="1:10">
      <c r="A71" s="287" t="s">
        <v>61</v>
      </c>
      <c r="B71" s="287" t="s">
        <v>311</v>
      </c>
      <c r="C71" s="287" t="s">
        <v>312</v>
      </c>
      <c r="D71" s="288" t="s">
        <v>313</v>
      </c>
      <c r="E71" s="287" t="s">
        <v>266</v>
      </c>
      <c r="F71" s="287" t="s">
        <v>267</v>
      </c>
      <c r="G71" s="283"/>
      <c r="H71" s="81"/>
      <c r="I71" s="82" t="s">
        <v>119</v>
      </c>
      <c r="J71" s="82" t="s">
        <v>120</v>
      </c>
    </row>
    <row r="72" spans="1:10">
      <c r="A72" s="287" t="s">
        <v>61</v>
      </c>
      <c r="B72" s="287" t="s">
        <v>314</v>
      </c>
      <c r="C72" s="287" t="s">
        <v>315</v>
      </c>
      <c r="D72" s="288" t="s">
        <v>316</v>
      </c>
      <c r="E72" s="287" t="s">
        <v>317</v>
      </c>
      <c r="F72" s="287" t="s">
        <v>143</v>
      </c>
      <c r="G72" s="283"/>
      <c r="H72" s="81"/>
      <c r="I72" s="82" t="s">
        <v>119</v>
      </c>
      <c r="J72" s="82" t="s">
        <v>124</v>
      </c>
    </row>
    <row r="73" spans="1:10">
      <c r="A73" s="287" t="s">
        <v>61</v>
      </c>
      <c r="B73" s="287" t="s">
        <v>318</v>
      </c>
      <c r="C73" s="287" t="s">
        <v>319</v>
      </c>
      <c r="D73" s="288" t="s">
        <v>320</v>
      </c>
      <c r="E73" s="287" t="s">
        <v>317</v>
      </c>
      <c r="F73" s="287" t="s">
        <v>143</v>
      </c>
      <c r="G73" s="283"/>
      <c r="H73" s="81"/>
      <c r="I73" s="82" t="s">
        <v>119</v>
      </c>
      <c r="J73" s="82" t="s">
        <v>124</v>
      </c>
    </row>
    <row r="74" spans="1:10">
      <c r="A74" s="287" t="s">
        <v>61</v>
      </c>
      <c r="B74" s="287" t="s">
        <v>321</v>
      </c>
      <c r="C74" s="287" t="s">
        <v>322</v>
      </c>
      <c r="D74" s="288" t="s">
        <v>323</v>
      </c>
      <c r="E74" s="287" t="s">
        <v>317</v>
      </c>
      <c r="F74" s="287" t="s">
        <v>143</v>
      </c>
      <c r="G74" s="283"/>
      <c r="H74" s="81"/>
      <c r="I74" s="82" t="s">
        <v>119</v>
      </c>
      <c r="J74" s="82" t="s">
        <v>124</v>
      </c>
    </row>
    <row r="75" spans="1:10">
      <c r="A75" s="287" t="s">
        <v>61</v>
      </c>
      <c r="B75" s="289" t="s">
        <v>324</v>
      </c>
      <c r="C75" s="287" t="s">
        <v>325</v>
      </c>
      <c r="D75" s="290" t="s">
        <v>326</v>
      </c>
      <c r="E75" s="287" t="s">
        <v>317</v>
      </c>
      <c r="F75" s="291" t="s">
        <v>143</v>
      </c>
      <c r="G75" s="284"/>
      <c r="H75" s="81"/>
      <c r="I75" s="82" t="s">
        <v>119</v>
      </c>
      <c r="J75" s="82" t="s">
        <v>124</v>
      </c>
    </row>
    <row r="76" spans="1:10">
      <c r="A76" s="287" t="s">
        <v>61</v>
      </c>
      <c r="B76" s="289" t="s">
        <v>327</v>
      </c>
      <c r="C76" s="287" t="s">
        <v>328</v>
      </c>
      <c r="D76" s="290" t="s">
        <v>329</v>
      </c>
      <c r="E76" s="287" t="s">
        <v>317</v>
      </c>
      <c r="F76" s="291" t="s">
        <v>143</v>
      </c>
      <c r="G76" s="284"/>
      <c r="H76" s="81"/>
      <c r="I76" s="82" t="s">
        <v>119</v>
      </c>
      <c r="J76" s="82" t="s">
        <v>124</v>
      </c>
    </row>
    <row r="77" spans="1:10">
      <c r="A77" s="287" t="s">
        <v>61</v>
      </c>
      <c r="B77" s="287">
        <v>1</v>
      </c>
      <c r="C77" s="297" t="s">
        <v>331</v>
      </c>
      <c r="D77" s="290" t="s">
        <v>332</v>
      </c>
      <c r="E77" s="287" t="s">
        <v>317</v>
      </c>
      <c r="F77" s="291" t="s">
        <v>143</v>
      </c>
      <c r="G77" s="284"/>
      <c r="H77" s="81"/>
      <c r="I77" s="82" t="s">
        <v>119</v>
      </c>
      <c r="J77" s="82" t="s">
        <v>124</v>
      </c>
    </row>
    <row r="78" spans="1:10">
      <c r="A78" s="287" t="s">
        <v>61</v>
      </c>
      <c r="B78" s="287" t="s">
        <v>333</v>
      </c>
      <c r="C78" s="287" t="s">
        <v>334</v>
      </c>
      <c r="D78" s="288" t="s">
        <v>335</v>
      </c>
      <c r="E78" s="287" t="s">
        <v>317</v>
      </c>
      <c r="F78" s="287" t="s">
        <v>336</v>
      </c>
      <c r="G78" s="283"/>
      <c r="H78" s="81"/>
      <c r="I78" s="82" t="s">
        <v>119</v>
      </c>
      <c r="J78" s="82" t="s">
        <v>124</v>
      </c>
    </row>
    <row r="79" spans="1:10">
      <c r="A79" s="287" t="s">
        <v>61</v>
      </c>
      <c r="B79" s="289" t="s">
        <v>337</v>
      </c>
      <c r="C79" s="287" t="s">
        <v>337</v>
      </c>
      <c r="D79" s="290" t="s">
        <v>338</v>
      </c>
      <c r="E79" s="287" t="s">
        <v>317</v>
      </c>
      <c r="F79" s="291" t="s">
        <v>336</v>
      </c>
      <c r="G79" s="284"/>
      <c r="H79" s="81"/>
      <c r="I79" s="82" t="s">
        <v>119</v>
      </c>
      <c r="J79" s="82" t="s">
        <v>124</v>
      </c>
    </row>
    <row r="80" spans="1:10">
      <c r="A80" s="287" t="s">
        <v>61</v>
      </c>
      <c r="B80" s="287" t="s">
        <v>339</v>
      </c>
      <c r="C80" s="287" t="s">
        <v>340</v>
      </c>
      <c r="D80" s="288" t="s">
        <v>341</v>
      </c>
      <c r="E80" s="287" t="s">
        <v>317</v>
      </c>
      <c r="F80" s="287" t="s">
        <v>336</v>
      </c>
      <c r="G80" s="283"/>
      <c r="H80" s="81"/>
      <c r="I80" s="82" t="s">
        <v>119</v>
      </c>
      <c r="J80" s="82" t="s">
        <v>124</v>
      </c>
    </row>
    <row r="81" spans="1:10">
      <c r="A81" s="287" t="s">
        <v>61</v>
      </c>
      <c r="B81" s="287" t="s">
        <v>342</v>
      </c>
      <c r="C81" s="287" t="s">
        <v>343</v>
      </c>
      <c r="D81" s="288" t="s">
        <v>344</v>
      </c>
      <c r="E81" s="287" t="s">
        <v>317</v>
      </c>
      <c r="F81" s="287" t="s">
        <v>336</v>
      </c>
      <c r="G81" s="283"/>
      <c r="H81" s="81"/>
      <c r="I81" s="82" t="s">
        <v>119</v>
      </c>
      <c r="J81" s="82" t="s">
        <v>124</v>
      </c>
    </row>
    <row r="82" spans="1:10">
      <c r="A82" s="287" t="s">
        <v>61</v>
      </c>
      <c r="B82" s="287" t="s">
        <v>345</v>
      </c>
      <c r="C82" s="287" t="s">
        <v>346</v>
      </c>
      <c r="D82" s="288" t="s">
        <v>347</v>
      </c>
      <c r="E82" s="287" t="s">
        <v>317</v>
      </c>
      <c r="F82" s="287" t="s">
        <v>336</v>
      </c>
      <c r="G82" s="283"/>
      <c r="H82" s="81"/>
      <c r="I82" s="82" t="s">
        <v>119</v>
      </c>
      <c r="J82" s="82" t="s">
        <v>124</v>
      </c>
    </row>
    <row r="83" spans="1:10">
      <c r="A83" s="287" t="s">
        <v>61</v>
      </c>
      <c r="B83" s="287" t="s">
        <v>348</v>
      </c>
      <c r="C83" s="287" t="s">
        <v>349</v>
      </c>
      <c r="D83" s="288" t="s">
        <v>350</v>
      </c>
      <c r="E83" s="287" t="s">
        <v>317</v>
      </c>
      <c r="F83" s="287" t="s">
        <v>143</v>
      </c>
      <c r="G83" s="283"/>
      <c r="H83" s="81"/>
      <c r="I83" s="82" t="s">
        <v>119</v>
      </c>
      <c r="J83" s="82" t="s">
        <v>124</v>
      </c>
    </row>
    <row r="84" spans="1:10">
      <c r="A84" s="287" t="s">
        <v>61</v>
      </c>
      <c r="B84" s="287" t="s">
        <v>742</v>
      </c>
      <c r="C84" s="287" t="s">
        <v>743</v>
      </c>
      <c r="D84" s="288" t="s">
        <v>744</v>
      </c>
      <c r="E84" s="287" t="s">
        <v>317</v>
      </c>
      <c r="F84" s="287" t="s">
        <v>336</v>
      </c>
      <c r="G84" s="283"/>
      <c r="H84" s="81"/>
      <c r="I84" s="82" t="s">
        <v>119</v>
      </c>
      <c r="J84" s="82" t="s">
        <v>124</v>
      </c>
    </row>
    <row r="85" spans="1:10">
      <c r="A85" s="287" t="s">
        <v>61</v>
      </c>
      <c r="B85" s="289" t="s">
        <v>351</v>
      </c>
      <c r="C85" s="287" t="s">
        <v>352</v>
      </c>
      <c r="D85" s="290" t="s">
        <v>353</v>
      </c>
      <c r="E85" s="287" t="s">
        <v>317</v>
      </c>
      <c r="F85" s="291" t="s">
        <v>336</v>
      </c>
      <c r="G85" s="284"/>
      <c r="H85" s="81"/>
      <c r="I85" s="82" t="s">
        <v>119</v>
      </c>
      <c r="J85" s="82" t="s">
        <v>124</v>
      </c>
    </row>
    <row r="86" spans="1:10">
      <c r="A86" s="287" t="s">
        <v>61</v>
      </c>
      <c r="B86" s="287" t="s">
        <v>354</v>
      </c>
      <c r="C86" s="287" t="s">
        <v>355</v>
      </c>
      <c r="D86" s="288" t="s">
        <v>356</v>
      </c>
      <c r="E86" s="287" t="s">
        <v>317</v>
      </c>
      <c r="F86" s="287" t="s">
        <v>336</v>
      </c>
      <c r="G86" s="283"/>
      <c r="H86" s="81"/>
      <c r="I86" s="82" t="s">
        <v>119</v>
      </c>
      <c r="J86" s="82" t="s">
        <v>120</v>
      </c>
    </row>
    <row r="87" spans="1:10">
      <c r="A87" s="287" t="s">
        <v>61</v>
      </c>
      <c r="B87" s="287" t="s">
        <v>357</v>
      </c>
      <c r="C87" s="287" t="s">
        <v>358</v>
      </c>
      <c r="D87" s="288" t="s">
        <v>359</v>
      </c>
      <c r="E87" s="287" t="s">
        <v>317</v>
      </c>
      <c r="F87" s="287" t="s">
        <v>143</v>
      </c>
      <c r="G87" s="283"/>
      <c r="H87" s="81"/>
      <c r="I87" s="82" t="s">
        <v>119</v>
      </c>
      <c r="J87" s="82" t="s">
        <v>124</v>
      </c>
    </row>
    <row r="88" spans="1:10">
      <c r="A88" s="287" t="s">
        <v>61</v>
      </c>
      <c r="B88" s="287" t="s">
        <v>360</v>
      </c>
      <c r="C88" s="287" t="s">
        <v>361</v>
      </c>
      <c r="D88" s="288" t="s">
        <v>362</v>
      </c>
      <c r="E88" s="287" t="s">
        <v>363</v>
      </c>
      <c r="F88" s="287" t="s">
        <v>364</v>
      </c>
      <c r="G88" s="283"/>
      <c r="H88" s="81" t="s">
        <v>1</v>
      </c>
      <c r="I88" s="82" t="s">
        <v>70</v>
      </c>
      <c r="J88" s="82" t="s">
        <v>79</v>
      </c>
    </row>
    <row r="89" spans="1:10">
      <c r="A89" s="287" t="s">
        <v>61</v>
      </c>
      <c r="B89" s="287" t="s">
        <v>365</v>
      </c>
      <c r="C89" s="287" t="s">
        <v>366</v>
      </c>
      <c r="D89" s="288" t="s">
        <v>367</v>
      </c>
      <c r="E89" s="287" t="s">
        <v>363</v>
      </c>
      <c r="F89" s="287" t="s">
        <v>368</v>
      </c>
      <c r="G89" s="283"/>
      <c r="H89" s="81"/>
      <c r="I89" s="82" t="s">
        <v>119</v>
      </c>
      <c r="J89" s="82" t="s">
        <v>369</v>
      </c>
    </row>
    <row r="90" spans="1:10">
      <c r="A90" s="287" t="s">
        <v>61</v>
      </c>
      <c r="B90" s="287" t="s">
        <v>370</v>
      </c>
      <c r="C90" s="287" t="s">
        <v>371</v>
      </c>
      <c r="D90" s="288" t="s">
        <v>372</v>
      </c>
      <c r="E90" s="287" t="s">
        <v>363</v>
      </c>
      <c r="F90" s="287" t="s">
        <v>368</v>
      </c>
      <c r="G90" s="283"/>
      <c r="H90" s="81"/>
      <c r="I90" s="82" t="s">
        <v>119</v>
      </c>
      <c r="J90" s="82" t="s">
        <v>369</v>
      </c>
    </row>
    <row r="91" spans="1:10">
      <c r="A91" s="287" t="s">
        <v>61</v>
      </c>
      <c r="B91" s="287" t="s">
        <v>373</v>
      </c>
      <c r="C91" s="287" t="s">
        <v>374</v>
      </c>
      <c r="D91" s="288" t="s">
        <v>375</v>
      </c>
      <c r="E91" s="287" t="s">
        <v>363</v>
      </c>
      <c r="F91" s="287" t="s">
        <v>368</v>
      </c>
      <c r="G91" s="283"/>
      <c r="H91" s="81"/>
      <c r="I91" s="82" t="s">
        <v>119</v>
      </c>
      <c r="J91" s="82" t="s">
        <v>369</v>
      </c>
    </row>
    <row r="92" spans="1:10">
      <c r="A92" s="287" t="s">
        <v>61</v>
      </c>
      <c r="B92" s="287" t="s">
        <v>376</v>
      </c>
      <c r="C92" s="287" t="s">
        <v>377</v>
      </c>
      <c r="D92" s="288" t="s">
        <v>378</v>
      </c>
      <c r="E92" s="287" t="s">
        <v>363</v>
      </c>
      <c r="F92" s="287" t="s">
        <v>368</v>
      </c>
      <c r="G92" s="283"/>
      <c r="H92" s="81"/>
      <c r="I92" s="82" t="s">
        <v>119</v>
      </c>
      <c r="J92" s="82" t="s">
        <v>369</v>
      </c>
    </row>
    <row r="93" spans="1:10">
      <c r="A93" s="287" t="s">
        <v>61</v>
      </c>
      <c r="B93" s="287">
        <v>9</v>
      </c>
      <c r="C93" s="289" t="s">
        <v>379</v>
      </c>
      <c r="D93" s="290" t="s">
        <v>380</v>
      </c>
      <c r="E93" s="287" t="s">
        <v>363</v>
      </c>
      <c r="F93" s="287" t="s">
        <v>368</v>
      </c>
      <c r="G93" s="284"/>
      <c r="H93" s="81"/>
      <c r="I93" s="82" t="s">
        <v>70</v>
      </c>
      <c r="J93" s="82" t="s">
        <v>369</v>
      </c>
    </row>
    <row r="94" spans="1:10">
      <c r="A94" s="287" t="s">
        <v>61</v>
      </c>
      <c r="B94" s="287" t="s">
        <v>382</v>
      </c>
      <c r="C94" s="287" t="s">
        <v>383</v>
      </c>
      <c r="D94" s="288" t="s">
        <v>384</v>
      </c>
      <c r="E94" s="287" t="s">
        <v>363</v>
      </c>
      <c r="F94" s="287" t="s">
        <v>364</v>
      </c>
      <c r="G94" s="283"/>
      <c r="H94" s="81"/>
      <c r="I94" s="82" t="s">
        <v>70</v>
      </c>
      <c r="J94" s="82" t="s">
        <v>79</v>
      </c>
    </row>
    <row r="95" spans="1:10">
      <c r="A95" s="287" t="s">
        <v>61</v>
      </c>
      <c r="B95" s="287" t="s">
        <v>385</v>
      </c>
      <c r="C95" s="287" t="s">
        <v>386</v>
      </c>
      <c r="D95" s="288" t="s">
        <v>387</v>
      </c>
      <c r="E95" s="287" t="s">
        <v>363</v>
      </c>
      <c r="F95" s="287" t="s">
        <v>364</v>
      </c>
      <c r="G95" s="283"/>
      <c r="H95" s="81"/>
      <c r="I95" s="82" t="s">
        <v>70</v>
      </c>
      <c r="J95" s="82" t="s">
        <v>79</v>
      </c>
    </row>
    <row r="96" spans="1:10">
      <c r="A96" s="287" t="s">
        <v>61</v>
      </c>
      <c r="B96" s="287" t="s">
        <v>388</v>
      </c>
      <c r="C96" s="287" t="s">
        <v>389</v>
      </c>
      <c r="D96" s="288" t="s">
        <v>390</v>
      </c>
      <c r="E96" s="287" t="s">
        <v>363</v>
      </c>
      <c r="F96" s="287" t="s">
        <v>364</v>
      </c>
      <c r="G96" s="283"/>
      <c r="H96" s="81"/>
      <c r="I96" s="82" t="s">
        <v>70</v>
      </c>
      <c r="J96" s="82" t="s">
        <v>391</v>
      </c>
    </row>
    <row r="97" spans="1:10">
      <c r="A97" s="287" t="s">
        <v>61</v>
      </c>
      <c r="B97" s="287" t="s">
        <v>392</v>
      </c>
      <c r="C97" s="292" t="s">
        <v>393</v>
      </c>
      <c r="D97" s="288" t="s">
        <v>394</v>
      </c>
      <c r="E97" s="287" t="s">
        <v>363</v>
      </c>
      <c r="F97" s="287" t="s">
        <v>364</v>
      </c>
      <c r="G97" s="283"/>
      <c r="H97" s="81"/>
      <c r="I97" s="82" t="s">
        <v>70</v>
      </c>
      <c r="J97" s="82" t="s">
        <v>205</v>
      </c>
    </row>
    <row r="98" spans="1:10">
      <c r="A98" s="287" t="s">
        <v>61</v>
      </c>
      <c r="B98" s="287" t="s">
        <v>395</v>
      </c>
      <c r="C98" s="292" t="s">
        <v>396</v>
      </c>
      <c r="D98" s="288" t="s">
        <v>397</v>
      </c>
      <c r="E98" s="287" t="s">
        <v>363</v>
      </c>
      <c r="F98" s="287" t="s">
        <v>364</v>
      </c>
      <c r="G98" s="283"/>
      <c r="H98" s="81"/>
      <c r="I98" s="82" t="s">
        <v>70</v>
      </c>
      <c r="J98" s="82" t="s">
        <v>79</v>
      </c>
    </row>
    <row r="99" spans="1:10">
      <c r="A99" s="287" t="s">
        <v>61</v>
      </c>
      <c r="B99" s="289" t="s">
        <v>398</v>
      </c>
      <c r="C99" s="296" t="s">
        <v>399</v>
      </c>
      <c r="D99" s="290" t="s">
        <v>400</v>
      </c>
      <c r="E99" s="287" t="s">
        <v>363</v>
      </c>
      <c r="F99" s="287" t="s">
        <v>364</v>
      </c>
      <c r="G99" s="283"/>
      <c r="H99" s="81"/>
      <c r="I99" s="82" t="s">
        <v>70</v>
      </c>
      <c r="J99" s="82" t="s">
        <v>79</v>
      </c>
    </row>
    <row r="100" spans="1:10">
      <c r="A100" s="287" t="s">
        <v>61</v>
      </c>
      <c r="B100" s="287" t="s">
        <v>401</v>
      </c>
      <c r="C100" s="287" t="s">
        <v>402</v>
      </c>
      <c r="D100" s="288" t="s">
        <v>403</v>
      </c>
      <c r="E100" s="287" t="s">
        <v>363</v>
      </c>
      <c r="F100" s="287" t="s">
        <v>364</v>
      </c>
      <c r="G100" s="283"/>
      <c r="H100" s="81"/>
      <c r="I100" s="82" t="s">
        <v>70</v>
      </c>
      <c r="J100" s="82" t="s">
        <v>79</v>
      </c>
    </row>
    <row r="101" spans="1:10">
      <c r="A101" s="287" t="s">
        <v>61</v>
      </c>
      <c r="B101" s="287" t="s">
        <v>404</v>
      </c>
      <c r="C101" s="287">
        <v>10</v>
      </c>
      <c r="D101" s="288" t="s">
        <v>405</v>
      </c>
      <c r="E101" s="287" t="s">
        <v>363</v>
      </c>
      <c r="F101" s="291" t="s">
        <v>364</v>
      </c>
      <c r="G101" s="283"/>
      <c r="H101" s="81" t="s">
        <v>17</v>
      </c>
      <c r="I101" s="82" t="s">
        <v>70</v>
      </c>
      <c r="J101" s="82" t="s">
        <v>79</v>
      </c>
    </row>
    <row r="102" spans="1:10">
      <c r="A102" s="287" t="s">
        <v>61</v>
      </c>
      <c r="B102" s="287" t="s">
        <v>739</v>
      </c>
      <c r="C102" s="287" t="s">
        <v>740</v>
      </c>
      <c r="D102" s="288" t="s">
        <v>741</v>
      </c>
      <c r="E102" s="287" t="s">
        <v>363</v>
      </c>
      <c r="F102" s="287" t="s">
        <v>364</v>
      </c>
      <c r="G102" s="283"/>
      <c r="H102" s="81"/>
      <c r="I102" s="82" t="s">
        <v>70</v>
      </c>
      <c r="J102" s="82" t="s">
        <v>79</v>
      </c>
    </row>
    <row r="103" spans="1:10">
      <c r="A103" s="287" t="s">
        <v>61</v>
      </c>
      <c r="B103" s="287" t="s">
        <v>408</v>
      </c>
      <c r="C103" s="287" t="s">
        <v>409</v>
      </c>
      <c r="D103" s="288" t="s">
        <v>410</v>
      </c>
      <c r="E103" s="287" t="s">
        <v>363</v>
      </c>
      <c r="F103" s="287" t="s">
        <v>368</v>
      </c>
      <c r="G103" s="283"/>
      <c r="H103" s="81"/>
      <c r="I103" s="82" t="s">
        <v>119</v>
      </c>
      <c r="J103" s="82" t="s">
        <v>369</v>
      </c>
    </row>
    <row r="104" spans="1:10">
      <c r="A104" s="287" t="s">
        <v>61</v>
      </c>
      <c r="B104" s="287" t="s">
        <v>411</v>
      </c>
      <c r="C104" s="287" t="s">
        <v>412</v>
      </c>
      <c r="D104" s="288" t="s">
        <v>413</v>
      </c>
      <c r="E104" s="287" t="s">
        <v>414</v>
      </c>
      <c r="F104" s="287" t="s">
        <v>415</v>
      </c>
      <c r="G104" s="283"/>
      <c r="H104" s="81"/>
      <c r="I104" s="82" t="s">
        <v>70</v>
      </c>
      <c r="J104" s="82" t="s">
        <v>209</v>
      </c>
    </row>
    <row r="105" spans="1:10">
      <c r="A105" s="287" t="s">
        <v>61</v>
      </c>
      <c r="B105" s="287" t="s">
        <v>416</v>
      </c>
      <c r="C105" s="287" t="s">
        <v>417</v>
      </c>
      <c r="D105" s="288" t="s">
        <v>418</v>
      </c>
      <c r="E105" s="287" t="s">
        <v>414</v>
      </c>
      <c r="F105" s="287" t="s">
        <v>415</v>
      </c>
      <c r="G105" s="283"/>
      <c r="H105" s="81"/>
      <c r="I105" s="82" t="s">
        <v>70</v>
      </c>
      <c r="J105" s="82" t="s">
        <v>209</v>
      </c>
    </row>
    <row r="106" spans="1:10">
      <c r="A106" s="287" t="s">
        <v>61</v>
      </c>
      <c r="B106" s="287" t="s">
        <v>419</v>
      </c>
      <c r="C106" s="287" t="s">
        <v>420</v>
      </c>
      <c r="D106" s="288" t="s">
        <v>421</v>
      </c>
      <c r="E106" s="287" t="s">
        <v>414</v>
      </c>
      <c r="F106" s="287" t="s">
        <v>415</v>
      </c>
      <c r="G106" s="283"/>
      <c r="H106" s="81"/>
      <c r="I106" s="82" t="s">
        <v>70</v>
      </c>
      <c r="J106" s="82" t="s">
        <v>209</v>
      </c>
    </row>
    <row r="107" spans="1:10">
      <c r="A107" s="287" t="s">
        <v>61</v>
      </c>
      <c r="B107" s="287" t="s">
        <v>422</v>
      </c>
      <c r="C107" s="287" t="s">
        <v>423</v>
      </c>
      <c r="D107" s="288" t="s">
        <v>424</v>
      </c>
      <c r="E107" s="287" t="s">
        <v>414</v>
      </c>
      <c r="F107" s="287" t="s">
        <v>415</v>
      </c>
      <c r="G107" s="283"/>
      <c r="H107" s="81"/>
      <c r="I107" s="82" t="s">
        <v>70</v>
      </c>
      <c r="J107" s="82" t="s">
        <v>209</v>
      </c>
    </row>
    <row r="108" spans="1:10">
      <c r="A108" s="287" t="s">
        <v>61</v>
      </c>
      <c r="B108" s="287" t="s">
        <v>425</v>
      </c>
      <c r="C108" s="287" t="s">
        <v>426</v>
      </c>
      <c r="D108" s="290" t="s">
        <v>427</v>
      </c>
      <c r="E108" s="287" t="s">
        <v>414</v>
      </c>
      <c r="F108" s="291" t="s">
        <v>415</v>
      </c>
      <c r="G108" s="283"/>
      <c r="H108" s="81"/>
      <c r="I108" s="82" t="s">
        <v>70</v>
      </c>
      <c r="J108" s="82" t="s">
        <v>209</v>
      </c>
    </row>
    <row r="109" spans="1:10">
      <c r="A109" s="287" t="s">
        <v>61</v>
      </c>
      <c r="B109" s="287" t="s">
        <v>428</v>
      </c>
      <c r="C109" s="287" t="s">
        <v>429</v>
      </c>
      <c r="D109" s="288" t="s">
        <v>430</v>
      </c>
      <c r="E109" s="287" t="s">
        <v>414</v>
      </c>
      <c r="F109" s="287" t="s">
        <v>415</v>
      </c>
      <c r="G109" s="283"/>
      <c r="H109" s="81"/>
      <c r="I109" s="82" t="s">
        <v>70</v>
      </c>
      <c r="J109" s="82" t="s">
        <v>209</v>
      </c>
    </row>
    <row r="110" spans="1:10">
      <c r="A110" s="287" t="s">
        <v>61</v>
      </c>
      <c r="B110" s="287" t="s">
        <v>431</v>
      </c>
      <c r="C110" s="287" t="s">
        <v>432</v>
      </c>
      <c r="D110" s="288" t="s">
        <v>433</v>
      </c>
      <c r="E110" s="287" t="s">
        <v>414</v>
      </c>
      <c r="F110" s="287" t="s">
        <v>415</v>
      </c>
      <c r="G110" s="283"/>
      <c r="H110" s="81"/>
      <c r="I110" s="82" t="s">
        <v>70</v>
      </c>
      <c r="J110" s="82" t="s">
        <v>209</v>
      </c>
    </row>
    <row r="111" spans="1:10">
      <c r="A111" s="287" t="s">
        <v>61</v>
      </c>
      <c r="B111" s="287" t="s">
        <v>434</v>
      </c>
      <c r="C111" s="287" t="s">
        <v>435</v>
      </c>
      <c r="D111" s="288" t="s">
        <v>436</v>
      </c>
      <c r="E111" s="287" t="s">
        <v>414</v>
      </c>
      <c r="F111" s="287" t="s">
        <v>415</v>
      </c>
      <c r="G111" s="283"/>
      <c r="H111" s="81"/>
      <c r="I111" s="82" t="s">
        <v>70</v>
      </c>
      <c r="J111" s="82" t="s">
        <v>209</v>
      </c>
    </row>
    <row r="112" spans="1:10">
      <c r="A112" s="287" t="s">
        <v>61</v>
      </c>
      <c r="B112" s="289" t="s">
        <v>437</v>
      </c>
      <c r="C112" s="287" t="s">
        <v>438</v>
      </c>
      <c r="D112" s="290" t="s">
        <v>439</v>
      </c>
      <c r="E112" s="287" t="s">
        <v>414</v>
      </c>
      <c r="F112" s="291" t="s">
        <v>415</v>
      </c>
      <c r="G112" s="283"/>
      <c r="H112" s="81"/>
      <c r="I112" s="82" t="s">
        <v>70</v>
      </c>
      <c r="J112" s="82" t="s">
        <v>209</v>
      </c>
    </row>
    <row r="113" spans="1:10">
      <c r="A113" s="287" t="s">
        <v>61</v>
      </c>
      <c r="B113" s="287" t="s">
        <v>440</v>
      </c>
      <c r="C113" s="287" t="s">
        <v>441</v>
      </c>
      <c r="D113" s="288" t="s">
        <v>442</v>
      </c>
      <c r="E113" s="287" t="s">
        <v>414</v>
      </c>
      <c r="F113" s="287" t="s">
        <v>415</v>
      </c>
      <c r="G113" s="283"/>
      <c r="H113" s="81"/>
      <c r="I113" s="82" t="s">
        <v>70</v>
      </c>
      <c r="J113" s="82" t="s">
        <v>209</v>
      </c>
    </row>
    <row r="114" spans="1:10">
      <c r="A114" s="287" t="s">
        <v>61</v>
      </c>
      <c r="B114" s="296" t="s">
        <v>443</v>
      </c>
      <c r="C114" s="298" t="s">
        <v>444</v>
      </c>
      <c r="D114" s="290" t="s">
        <v>445</v>
      </c>
      <c r="E114" s="287" t="s">
        <v>414</v>
      </c>
      <c r="F114" s="291" t="s">
        <v>415</v>
      </c>
      <c r="G114" s="283"/>
      <c r="H114" s="81"/>
      <c r="I114" s="82" t="s">
        <v>70</v>
      </c>
      <c r="J114" s="82" t="s">
        <v>209</v>
      </c>
    </row>
    <row r="115" spans="1:10">
      <c r="A115" s="287" t="s">
        <v>61</v>
      </c>
      <c r="B115" s="287" t="s">
        <v>446</v>
      </c>
      <c r="C115" s="287" t="s">
        <v>447</v>
      </c>
      <c r="D115" s="288" t="s">
        <v>448</v>
      </c>
      <c r="E115" s="287" t="s">
        <v>414</v>
      </c>
      <c r="F115" s="287" t="s">
        <v>415</v>
      </c>
      <c r="G115" s="283"/>
      <c r="H115" s="81"/>
      <c r="I115" s="82" t="s">
        <v>70</v>
      </c>
      <c r="J115" s="82" t="s">
        <v>209</v>
      </c>
    </row>
    <row r="116" spans="1:10">
      <c r="A116" s="287" t="s">
        <v>61</v>
      </c>
      <c r="B116" s="289" t="s">
        <v>449</v>
      </c>
      <c r="C116" s="289" t="s">
        <v>450</v>
      </c>
      <c r="D116" s="290" t="s">
        <v>451</v>
      </c>
      <c r="E116" s="287" t="s">
        <v>414</v>
      </c>
      <c r="F116" s="291" t="s">
        <v>415</v>
      </c>
      <c r="G116" s="283"/>
      <c r="H116" s="81"/>
      <c r="I116" s="82" t="s">
        <v>70</v>
      </c>
      <c r="J116" s="82" t="s">
        <v>209</v>
      </c>
    </row>
    <row r="117" spans="1:10">
      <c r="A117" s="287" t="s">
        <v>61</v>
      </c>
      <c r="B117" s="287" t="s">
        <v>452</v>
      </c>
      <c r="C117" s="287" t="s">
        <v>453</v>
      </c>
      <c r="D117" s="288" t="s">
        <v>454</v>
      </c>
      <c r="E117" s="287" t="s">
        <v>414</v>
      </c>
      <c r="F117" s="287" t="s">
        <v>415</v>
      </c>
      <c r="G117" s="283"/>
      <c r="H117" s="81"/>
      <c r="I117" s="82" t="s">
        <v>70</v>
      </c>
      <c r="J117" s="82" t="s">
        <v>209</v>
      </c>
    </row>
    <row r="118" spans="1:10">
      <c r="A118" s="287" t="s">
        <v>61</v>
      </c>
      <c r="B118" s="287" t="s">
        <v>455</v>
      </c>
      <c r="C118" s="287" t="s">
        <v>456</v>
      </c>
      <c r="D118" s="288" t="s">
        <v>457</v>
      </c>
      <c r="E118" s="287" t="s">
        <v>414</v>
      </c>
      <c r="F118" s="287" t="s">
        <v>415</v>
      </c>
      <c r="G118" s="283"/>
      <c r="H118" s="81" t="s">
        <v>9</v>
      </c>
      <c r="I118" s="82" t="s">
        <v>70</v>
      </c>
      <c r="J118" s="82" t="s">
        <v>209</v>
      </c>
    </row>
    <row r="119" spans="1:10">
      <c r="A119" s="287" t="s">
        <v>61</v>
      </c>
      <c r="B119" s="287" t="s">
        <v>459</v>
      </c>
      <c r="C119" s="287" t="s">
        <v>460</v>
      </c>
      <c r="D119" s="288" t="s">
        <v>461</v>
      </c>
      <c r="E119" s="287" t="s">
        <v>414</v>
      </c>
      <c r="F119" s="287" t="s">
        <v>415</v>
      </c>
      <c r="G119" s="283"/>
      <c r="H119" s="81"/>
      <c r="I119" s="82" t="s">
        <v>70</v>
      </c>
      <c r="J119" s="82" t="s">
        <v>209</v>
      </c>
    </row>
    <row r="120" spans="1:10">
      <c r="A120" s="287" t="s">
        <v>61</v>
      </c>
      <c r="B120" s="287" t="s">
        <v>462</v>
      </c>
      <c r="C120" s="287" t="s">
        <v>463</v>
      </c>
      <c r="D120" s="288" t="s">
        <v>464</v>
      </c>
      <c r="E120" s="287" t="s">
        <v>414</v>
      </c>
      <c r="F120" s="287" t="s">
        <v>415</v>
      </c>
      <c r="G120" s="283"/>
      <c r="H120" s="81"/>
      <c r="I120" s="82" t="s">
        <v>70</v>
      </c>
      <c r="J120" s="82" t="s">
        <v>209</v>
      </c>
    </row>
    <row r="121" spans="1:10">
      <c r="A121" s="287" t="s">
        <v>61</v>
      </c>
      <c r="B121" s="287" t="s">
        <v>465</v>
      </c>
      <c r="C121" s="287" t="s">
        <v>466</v>
      </c>
      <c r="D121" s="288" t="s">
        <v>467</v>
      </c>
      <c r="E121" s="287" t="s">
        <v>414</v>
      </c>
      <c r="F121" s="287" t="s">
        <v>415</v>
      </c>
      <c r="G121" s="283"/>
      <c r="H121" s="81"/>
      <c r="I121" s="82" t="s">
        <v>70</v>
      </c>
      <c r="J121" s="82" t="s">
        <v>209</v>
      </c>
    </row>
    <row r="122" spans="1:10">
      <c r="A122" s="287" t="s">
        <v>61</v>
      </c>
      <c r="B122" s="287" t="s">
        <v>468</v>
      </c>
      <c r="C122" s="287" t="s">
        <v>469</v>
      </c>
      <c r="D122" s="288" t="s">
        <v>470</v>
      </c>
      <c r="E122" s="287" t="s">
        <v>414</v>
      </c>
      <c r="F122" s="287" t="s">
        <v>415</v>
      </c>
      <c r="G122" s="283"/>
      <c r="H122" s="81"/>
      <c r="I122" s="82" t="s">
        <v>70</v>
      </c>
      <c r="J122" s="82" t="s">
        <v>209</v>
      </c>
    </row>
    <row r="123" spans="1:10">
      <c r="A123" s="287" t="s">
        <v>61</v>
      </c>
      <c r="B123" s="287" t="s">
        <v>471</v>
      </c>
      <c r="C123" s="292" t="s">
        <v>472</v>
      </c>
      <c r="D123" s="288" t="s">
        <v>473</v>
      </c>
      <c r="E123" s="287" t="s">
        <v>414</v>
      </c>
      <c r="F123" s="287" t="s">
        <v>415</v>
      </c>
      <c r="G123" s="283"/>
      <c r="H123" s="81" t="s">
        <v>1</v>
      </c>
      <c r="I123" s="82" t="s">
        <v>70</v>
      </c>
      <c r="J123" s="82" t="s">
        <v>79</v>
      </c>
    </row>
    <row r="124" spans="1:10">
      <c r="A124" s="287" t="s">
        <v>61</v>
      </c>
      <c r="B124" s="287" t="s">
        <v>474</v>
      </c>
      <c r="C124" s="287" t="s">
        <v>475</v>
      </c>
      <c r="D124" s="288" t="s">
        <v>476</v>
      </c>
      <c r="E124" s="287" t="s">
        <v>414</v>
      </c>
      <c r="F124" s="287" t="s">
        <v>415</v>
      </c>
      <c r="G124" s="283"/>
      <c r="H124" s="81"/>
      <c r="I124" s="82" t="s">
        <v>70</v>
      </c>
      <c r="J124" s="82" t="s">
        <v>205</v>
      </c>
    </row>
    <row r="125" spans="1:10">
      <c r="A125" s="287" t="s">
        <v>61</v>
      </c>
      <c r="B125" s="288" t="s">
        <v>477</v>
      </c>
      <c r="C125" s="287" t="s">
        <v>478</v>
      </c>
      <c r="D125" s="290" t="s">
        <v>479</v>
      </c>
      <c r="E125" s="287" t="s">
        <v>414</v>
      </c>
      <c r="F125" s="291" t="s">
        <v>415</v>
      </c>
      <c r="G125" s="284"/>
      <c r="H125" s="81"/>
      <c r="I125" s="82" t="s">
        <v>70</v>
      </c>
      <c r="J125" s="82" t="s">
        <v>209</v>
      </c>
    </row>
    <row r="126" spans="1:10">
      <c r="A126" s="287" t="s">
        <v>61</v>
      </c>
      <c r="B126" s="287" t="s">
        <v>481</v>
      </c>
      <c r="C126" s="287" t="s">
        <v>482</v>
      </c>
      <c r="D126" s="288" t="s">
        <v>483</v>
      </c>
      <c r="E126" s="287" t="s">
        <v>414</v>
      </c>
      <c r="F126" s="287" t="s">
        <v>415</v>
      </c>
      <c r="G126" s="283"/>
      <c r="H126" s="81"/>
      <c r="I126" s="82" t="s">
        <v>70</v>
      </c>
      <c r="J126" s="82" t="s">
        <v>209</v>
      </c>
    </row>
    <row r="127" spans="1:10">
      <c r="A127" s="287" t="s">
        <v>61</v>
      </c>
      <c r="B127" s="299" t="s">
        <v>484</v>
      </c>
      <c r="C127" s="287" t="s">
        <v>485</v>
      </c>
      <c r="D127" s="288" t="s">
        <v>486</v>
      </c>
      <c r="E127" s="287" t="s">
        <v>640</v>
      </c>
      <c r="F127" s="287" t="s">
        <v>488</v>
      </c>
      <c r="G127" s="283"/>
      <c r="H127" s="102" t="s">
        <v>0</v>
      </c>
      <c r="I127" s="82" t="s">
        <v>119</v>
      </c>
      <c r="J127" s="82" t="s">
        <v>205</v>
      </c>
    </row>
    <row r="128" spans="1:10">
      <c r="A128" s="300" t="s">
        <v>61</v>
      </c>
      <c r="B128" s="301" t="s">
        <v>489</v>
      </c>
      <c r="C128" s="289" t="s">
        <v>490</v>
      </c>
      <c r="D128" s="302" t="s">
        <v>491</v>
      </c>
      <c r="E128" s="287" t="s">
        <v>640</v>
      </c>
      <c r="F128" s="287" t="s">
        <v>492</v>
      </c>
      <c r="G128" s="284"/>
      <c r="H128" s="81"/>
      <c r="I128" s="82" t="s">
        <v>119</v>
      </c>
      <c r="J128" s="82" t="s">
        <v>205</v>
      </c>
    </row>
    <row r="129" spans="1:10">
      <c r="A129" s="300" t="s">
        <v>61</v>
      </c>
      <c r="B129" s="303" t="s">
        <v>493</v>
      </c>
      <c r="C129" s="287" t="s">
        <v>494</v>
      </c>
      <c r="D129" s="304" t="s">
        <v>495</v>
      </c>
      <c r="E129" s="287" t="s">
        <v>640</v>
      </c>
      <c r="F129" s="292" t="s">
        <v>492</v>
      </c>
      <c r="G129" s="284"/>
      <c r="H129" s="81"/>
      <c r="I129" s="82" t="s">
        <v>119</v>
      </c>
      <c r="J129" s="82" t="s">
        <v>205</v>
      </c>
    </row>
    <row r="130" spans="1:10">
      <c r="A130" s="300" t="s">
        <v>61</v>
      </c>
      <c r="B130" s="305" t="s">
        <v>496</v>
      </c>
      <c r="C130" s="287" t="s">
        <v>497</v>
      </c>
      <c r="D130" s="306" t="s">
        <v>498</v>
      </c>
      <c r="E130" s="287" t="s">
        <v>640</v>
      </c>
      <c r="F130" s="307" t="s">
        <v>492</v>
      </c>
      <c r="G130" s="283"/>
      <c r="H130" s="81"/>
      <c r="I130" s="82" t="s">
        <v>119</v>
      </c>
      <c r="J130" s="82" t="s">
        <v>164</v>
      </c>
    </row>
    <row r="131" spans="1:10">
      <c r="A131" s="300" t="s">
        <v>61</v>
      </c>
      <c r="B131" s="305" t="s">
        <v>499</v>
      </c>
      <c r="C131" s="287" t="s">
        <v>500</v>
      </c>
      <c r="D131" s="306" t="s">
        <v>501</v>
      </c>
      <c r="E131" s="287" t="s">
        <v>640</v>
      </c>
      <c r="F131" s="307" t="s">
        <v>492</v>
      </c>
      <c r="G131" s="283"/>
      <c r="H131" s="81"/>
      <c r="I131" s="82" t="s">
        <v>119</v>
      </c>
      <c r="J131" s="82" t="s">
        <v>205</v>
      </c>
    </row>
    <row r="132" spans="1:10">
      <c r="A132" s="300" t="s">
        <v>61</v>
      </c>
      <c r="B132" s="305" t="s">
        <v>502</v>
      </c>
      <c r="C132" s="287" t="s">
        <v>503</v>
      </c>
      <c r="D132" s="306" t="s">
        <v>504</v>
      </c>
      <c r="E132" s="287" t="s">
        <v>640</v>
      </c>
      <c r="F132" s="307" t="s">
        <v>492</v>
      </c>
      <c r="G132" s="283"/>
      <c r="H132" s="81"/>
      <c r="I132" s="82" t="s">
        <v>119</v>
      </c>
      <c r="J132" s="82" t="s">
        <v>205</v>
      </c>
    </row>
    <row r="133" spans="1:10">
      <c r="A133" s="300" t="s">
        <v>61</v>
      </c>
      <c r="B133" s="305" t="s">
        <v>505</v>
      </c>
      <c r="C133" s="287" t="s">
        <v>506</v>
      </c>
      <c r="D133" s="306" t="s">
        <v>507</v>
      </c>
      <c r="E133" s="287" t="s">
        <v>640</v>
      </c>
      <c r="F133" s="307" t="s">
        <v>488</v>
      </c>
      <c r="G133" s="283"/>
      <c r="H133" s="102" t="s">
        <v>16</v>
      </c>
      <c r="I133" s="82" t="s">
        <v>119</v>
      </c>
      <c r="J133" s="82" t="s">
        <v>205</v>
      </c>
    </row>
    <row r="134" spans="1:10">
      <c r="A134" s="300" t="s">
        <v>61</v>
      </c>
      <c r="B134" s="303" t="s">
        <v>508</v>
      </c>
      <c r="C134" s="287" t="s">
        <v>509</v>
      </c>
      <c r="D134" s="308" t="s">
        <v>510</v>
      </c>
      <c r="E134" s="287" t="s">
        <v>640</v>
      </c>
      <c r="F134" s="307" t="s">
        <v>492</v>
      </c>
      <c r="G134" s="284"/>
      <c r="H134" s="81"/>
      <c r="I134" s="82" t="s">
        <v>119</v>
      </c>
      <c r="J134" s="82" t="s">
        <v>205</v>
      </c>
    </row>
    <row r="135" spans="1:10">
      <c r="A135" s="300" t="s">
        <v>61</v>
      </c>
      <c r="B135" s="305" t="s">
        <v>511</v>
      </c>
      <c r="C135" s="287" t="s">
        <v>512</v>
      </c>
      <c r="D135" s="306" t="s">
        <v>513</v>
      </c>
      <c r="E135" s="287" t="s">
        <v>640</v>
      </c>
      <c r="F135" s="307" t="s">
        <v>492</v>
      </c>
      <c r="G135" s="283"/>
      <c r="H135" s="81"/>
      <c r="I135" s="82" t="s">
        <v>119</v>
      </c>
      <c r="J135" s="82" t="s">
        <v>205</v>
      </c>
    </row>
    <row r="136" spans="1:10">
      <c r="A136" s="300" t="s">
        <v>61</v>
      </c>
      <c r="B136" s="303" t="s">
        <v>514</v>
      </c>
      <c r="C136" s="287" t="s">
        <v>515</v>
      </c>
      <c r="D136" s="302" t="s">
        <v>516</v>
      </c>
      <c r="E136" s="287" t="s">
        <v>640</v>
      </c>
      <c r="F136" s="309" t="s">
        <v>492</v>
      </c>
      <c r="G136" s="284"/>
      <c r="H136" s="81"/>
      <c r="I136" s="82" t="s">
        <v>119</v>
      </c>
      <c r="J136" s="82" t="s">
        <v>205</v>
      </c>
    </row>
    <row r="137" spans="1:10">
      <c r="A137" s="300" t="s">
        <v>61</v>
      </c>
      <c r="B137" s="287" t="s">
        <v>517</v>
      </c>
      <c r="C137" s="287" t="s">
        <v>518</v>
      </c>
      <c r="D137" s="288" t="s">
        <v>519</v>
      </c>
      <c r="E137" s="287" t="s">
        <v>640</v>
      </c>
      <c r="F137" s="310" t="s">
        <v>492</v>
      </c>
      <c r="G137" s="283"/>
      <c r="H137" s="81"/>
      <c r="I137" s="82" t="s">
        <v>119</v>
      </c>
      <c r="J137" s="82" t="s">
        <v>205</v>
      </c>
    </row>
    <row r="138" spans="1:10">
      <c r="A138" s="300" t="s">
        <v>61</v>
      </c>
      <c r="B138" s="289" t="s">
        <v>520</v>
      </c>
      <c r="C138" s="289" t="s">
        <v>521</v>
      </c>
      <c r="D138" s="311" t="s">
        <v>522</v>
      </c>
      <c r="E138" s="287" t="s">
        <v>640</v>
      </c>
      <c r="F138" s="305" t="s">
        <v>492</v>
      </c>
      <c r="G138" s="283"/>
      <c r="H138" s="81"/>
      <c r="I138" s="82" t="s">
        <v>119</v>
      </c>
      <c r="J138" s="82" t="s">
        <v>205</v>
      </c>
    </row>
    <row r="139" spans="1:10">
      <c r="A139" s="300" t="s">
        <v>61</v>
      </c>
      <c r="B139" s="287" t="s">
        <v>523</v>
      </c>
      <c r="C139" s="287" t="s">
        <v>524</v>
      </c>
      <c r="D139" s="312" t="s">
        <v>525</v>
      </c>
      <c r="E139" s="287" t="s">
        <v>640</v>
      </c>
      <c r="F139" s="305" t="s">
        <v>492</v>
      </c>
      <c r="G139" s="283"/>
      <c r="H139" s="81"/>
      <c r="I139" s="82" t="s">
        <v>119</v>
      </c>
      <c r="J139" s="82" t="s">
        <v>205</v>
      </c>
    </row>
    <row r="140" spans="1:10">
      <c r="A140" s="300" t="s">
        <v>61</v>
      </c>
      <c r="B140" s="287" t="s">
        <v>526</v>
      </c>
      <c r="C140" s="287" t="s">
        <v>527</v>
      </c>
      <c r="D140" s="313" t="s">
        <v>528</v>
      </c>
      <c r="E140" s="287" t="s">
        <v>640</v>
      </c>
      <c r="F140" s="307" t="s">
        <v>488</v>
      </c>
      <c r="G140" s="283"/>
      <c r="H140" s="81"/>
      <c r="I140" s="82" t="s">
        <v>119</v>
      </c>
      <c r="J140" s="82" t="s">
        <v>205</v>
      </c>
    </row>
    <row r="141" spans="1:10">
      <c r="A141" s="287" t="s">
        <v>61</v>
      </c>
      <c r="B141" s="289" t="s">
        <v>529</v>
      </c>
      <c r="C141" s="289" t="s">
        <v>530</v>
      </c>
      <c r="D141" s="314" t="s">
        <v>531</v>
      </c>
      <c r="E141" s="287" t="s">
        <v>640</v>
      </c>
      <c r="F141" s="305" t="s">
        <v>488</v>
      </c>
      <c r="G141" s="284"/>
      <c r="H141" s="81"/>
      <c r="I141" s="82" t="s">
        <v>119</v>
      </c>
      <c r="J141" s="82" t="s">
        <v>205</v>
      </c>
    </row>
    <row r="142" spans="1:10">
      <c r="A142" s="287" t="s">
        <v>61</v>
      </c>
      <c r="B142" s="287" t="s">
        <v>533</v>
      </c>
      <c r="C142" s="287" t="s">
        <v>534</v>
      </c>
      <c r="D142" s="315" t="s">
        <v>535</v>
      </c>
      <c r="E142" s="287" t="s">
        <v>640</v>
      </c>
      <c r="F142" s="305" t="s">
        <v>488</v>
      </c>
      <c r="G142" s="283"/>
      <c r="H142" s="81"/>
      <c r="I142" s="82" t="s">
        <v>119</v>
      </c>
      <c r="J142" s="82" t="s">
        <v>205</v>
      </c>
    </row>
    <row r="143" spans="1:10">
      <c r="A143" s="287" t="s">
        <v>61</v>
      </c>
      <c r="B143" s="287" t="s">
        <v>536</v>
      </c>
      <c r="C143" s="287" t="s">
        <v>537</v>
      </c>
      <c r="D143" s="315" t="s">
        <v>538</v>
      </c>
      <c r="E143" s="287" t="s">
        <v>640</v>
      </c>
      <c r="F143" s="305" t="s">
        <v>488</v>
      </c>
      <c r="G143" s="283"/>
      <c r="H143" s="81"/>
      <c r="I143" s="82" t="s">
        <v>119</v>
      </c>
      <c r="J143" s="82" t="s">
        <v>205</v>
      </c>
    </row>
    <row r="144" spans="1:10">
      <c r="A144" s="287" t="s">
        <v>61</v>
      </c>
      <c r="B144" s="287" t="s">
        <v>539</v>
      </c>
      <c r="C144" s="287" t="s">
        <v>540</v>
      </c>
      <c r="D144" s="288" t="s">
        <v>541</v>
      </c>
      <c r="E144" s="287" t="s">
        <v>640</v>
      </c>
      <c r="F144" s="305" t="s">
        <v>488</v>
      </c>
      <c r="G144" s="283"/>
      <c r="H144" s="81"/>
      <c r="I144" s="82" t="s">
        <v>119</v>
      </c>
      <c r="J144" s="82" t="s">
        <v>205</v>
      </c>
    </row>
    <row r="145" spans="1:10">
      <c r="A145" s="287" t="s">
        <v>61</v>
      </c>
      <c r="B145" s="287" t="s">
        <v>542</v>
      </c>
      <c r="C145" s="287" t="s">
        <v>543</v>
      </c>
      <c r="D145" s="316" t="s">
        <v>544</v>
      </c>
      <c r="E145" s="287" t="s">
        <v>640</v>
      </c>
      <c r="F145" s="305" t="s">
        <v>488</v>
      </c>
      <c r="G145" s="283"/>
      <c r="H145" s="81"/>
      <c r="I145" s="82" t="s">
        <v>119</v>
      </c>
      <c r="J145" s="82" t="s">
        <v>205</v>
      </c>
    </row>
    <row r="146" spans="1:10">
      <c r="A146" s="287" t="s">
        <v>61</v>
      </c>
      <c r="B146" s="287" t="s">
        <v>545</v>
      </c>
      <c r="C146" s="287" t="s">
        <v>546</v>
      </c>
      <c r="D146" s="313" t="s">
        <v>547</v>
      </c>
      <c r="E146" s="287" t="s">
        <v>640</v>
      </c>
      <c r="F146" s="305" t="s">
        <v>488</v>
      </c>
      <c r="G146" s="283"/>
      <c r="H146" s="81"/>
      <c r="I146" s="82" t="s">
        <v>119</v>
      </c>
      <c r="J146" s="82" t="s">
        <v>205</v>
      </c>
    </row>
    <row r="147" spans="1:10">
      <c r="A147" s="287" t="s">
        <v>61</v>
      </c>
      <c r="B147" s="287" t="s">
        <v>548</v>
      </c>
      <c r="C147" s="287" t="s">
        <v>549</v>
      </c>
      <c r="D147" s="317" t="s">
        <v>550</v>
      </c>
      <c r="E147" s="287" t="s">
        <v>640</v>
      </c>
      <c r="F147" s="305" t="s">
        <v>488</v>
      </c>
      <c r="G147" s="283"/>
      <c r="H147" s="81"/>
      <c r="I147" s="82" t="s">
        <v>119</v>
      </c>
      <c r="J147" s="82" t="s">
        <v>205</v>
      </c>
    </row>
    <row r="148" spans="1:10">
      <c r="A148" s="287" t="s">
        <v>61</v>
      </c>
      <c r="B148" s="287" t="s">
        <v>551</v>
      </c>
      <c r="C148" s="287" t="s">
        <v>552</v>
      </c>
      <c r="D148" s="312" t="s">
        <v>553</v>
      </c>
      <c r="E148" s="287" t="s">
        <v>640</v>
      </c>
      <c r="F148" s="305" t="s">
        <v>488</v>
      </c>
      <c r="G148" s="283"/>
      <c r="H148" s="81"/>
      <c r="I148" s="82" t="s">
        <v>119</v>
      </c>
      <c r="J148" s="82" t="s">
        <v>205</v>
      </c>
    </row>
    <row r="149" spans="1:10">
      <c r="A149" s="287" t="s">
        <v>61</v>
      </c>
      <c r="B149" s="292" t="s">
        <v>554</v>
      </c>
      <c r="C149" s="298" t="s">
        <v>555</v>
      </c>
      <c r="D149" s="316" t="s">
        <v>556</v>
      </c>
      <c r="E149" s="287" t="s">
        <v>640</v>
      </c>
      <c r="F149" s="305" t="s">
        <v>488</v>
      </c>
      <c r="G149" s="283"/>
      <c r="H149" s="81"/>
      <c r="I149" s="82" t="s">
        <v>119</v>
      </c>
      <c r="J149" s="82" t="s">
        <v>557</v>
      </c>
    </row>
    <row r="150" spans="1:10">
      <c r="A150" s="287" t="s">
        <v>61</v>
      </c>
      <c r="B150" s="292" t="s">
        <v>558</v>
      </c>
      <c r="C150" s="298" t="s">
        <v>558</v>
      </c>
      <c r="D150" s="316" t="s">
        <v>559</v>
      </c>
      <c r="E150" s="287" t="s">
        <v>640</v>
      </c>
      <c r="F150" s="287" t="s">
        <v>488</v>
      </c>
      <c r="G150" s="283"/>
      <c r="H150" s="81"/>
      <c r="I150" s="82" t="s">
        <v>119</v>
      </c>
      <c r="J150" s="82" t="s">
        <v>560</v>
      </c>
    </row>
    <row r="151" spans="1:10">
      <c r="A151" s="287" t="s">
        <v>61</v>
      </c>
      <c r="B151" s="287" t="s">
        <v>561</v>
      </c>
      <c r="C151" s="287" t="s">
        <v>562</v>
      </c>
      <c r="D151" s="288" t="s">
        <v>563</v>
      </c>
      <c r="E151" s="287" t="s">
        <v>640</v>
      </c>
      <c r="F151" s="287" t="s">
        <v>564</v>
      </c>
      <c r="G151" s="283"/>
      <c r="H151" s="81"/>
      <c r="I151" s="82" t="s">
        <v>119</v>
      </c>
      <c r="J151" s="82" t="s">
        <v>369</v>
      </c>
    </row>
    <row r="152" spans="1:10">
      <c r="A152" s="287" t="s">
        <v>61</v>
      </c>
      <c r="B152" s="287" t="s">
        <v>565</v>
      </c>
      <c r="C152" s="287" t="s">
        <v>566</v>
      </c>
      <c r="D152" s="288" t="s">
        <v>567</v>
      </c>
      <c r="E152" s="287" t="s">
        <v>640</v>
      </c>
      <c r="F152" s="287" t="s">
        <v>564</v>
      </c>
      <c r="G152" s="283"/>
      <c r="H152" s="81"/>
      <c r="I152" s="82" t="s">
        <v>119</v>
      </c>
      <c r="J152" s="82" t="s">
        <v>369</v>
      </c>
    </row>
    <row r="153" spans="1:10">
      <c r="A153" s="287" t="s">
        <v>61</v>
      </c>
      <c r="B153" s="287" t="s">
        <v>568</v>
      </c>
      <c r="C153" s="287" t="s">
        <v>569</v>
      </c>
      <c r="D153" s="313" t="s">
        <v>570</v>
      </c>
      <c r="E153" s="292" t="s">
        <v>640</v>
      </c>
      <c r="F153" s="287" t="s">
        <v>488</v>
      </c>
      <c r="G153" s="283"/>
      <c r="H153" s="81"/>
      <c r="I153" s="82" t="s">
        <v>119</v>
      </c>
      <c r="J153" s="82" t="s">
        <v>205</v>
      </c>
    </row>
    <row r="154" spans="1:10">
      <c r="A154" s="287" t="s">
        <v>61</v>
      </c>
      <c r="B154" s="287" t="s">
        <v>571</v>
      </c>
      <c r="C154" s="287" t="s">
        <v>572</v>
      </c>
      <c r="D154" s="312" t="s">
        <v>573</v>
      </c>
      <c r="E154" s="287" t="s">
        <v>640</v>
      </c>
      <c r="F154" s="287" t="s">
        <v>492</v>
      </c>
      <c r="G154" s="283"/>
      <c r="H154" s="139" t="s">
        <v>17</v>
      </c>
      <c r="I154" s="82" t="s">
        <v>70</v>
      </c>
      <c r="J154" s="82" t="s">
        <v>205</v>
      </c>
    </row>
    <row r="155" spans="1:10">
      <c r="A155" s="287" t="s">
        <v>61</v>
      </c>
      <c r="B155" s="305" t="s">
        <v>575</v>
      </c>
      <c r="C155" s="305" t="s">
        <v>576</v>
      </c>
      <c r="D155" s="288" t="s">
        <v>577</v>
      </c>
      <c r="E155" s="287" t="s">
        <v>640</v>
      </c>
      <c r="F155" s="287" t="s">
        <v>564</v>
      </c>
      <c r="G155" s="283"/>
      <c r="H155" s="139" t="s">
        <v>17</v>
      </c>
      <c r="I155" s="82" t="s">
        <v>70</v>
      </c>
      <c r="J155" s="82" t="s">
        <v>71</v>
      </c>
    </row>
    <row r="156" spans="1:10">
      <c r="A156" s="287" t="s">
        <v>61</v>
      </c>
      <c r="B156" s="290" t="s">
        <v>579</v>
      </c>
      <c r="C156" s="290" t="s">
        <v>580</v>
      </c>
      <c r="D156" s="288" t="s">
        <v>581</v>
      </c>
      <c r="E156" s="287" t="s">
        <v>640</v>
      </c>
      <c r="F156" s="287" t="s">
        <v>492</v>
      </c>
      <c r="G156" s="283"/>
      <c r="H156" s="81"/>
      <c r="I156" s="82" t="s">
        <v>119</v>
      </c>
      <c r="J156" s="82" t="s">
        <v>205</v>
      </c>
    </row>
    <row r="157" spans="1:10">
      <c r="A157" s="287" t="s">
        <v>61</v>
      </c>
      <c r="B157" s="287" t="s">
        <v>582</v>
      </c>
      <c r="C157" s="287" t="s">
        <v>583</v>
      </c>
      <c r="D157" s="288" t="s">
        <v>584</v>
      </c>
      <c r="E157" s="287" t="s">
        <v>640</v>
      </c>
      <c r="F157" s="287" t="s">
        <v>488</v>
      </c>
      <c r="G157" s="283"/>
      <c r="H157" s="81" t="s">
        <v>1</v>
      </c>
      <c r="I157" s="82" t="s">
        <v>119</v>
      </c>
      <c r="J157" s="82" t="s">
        <v>205</v>
      </c>
    </row>
    <row r="158" spans="1:10">
      <c r="A158" s="287" t="s">
        <v>61</v>
      </c>
      <c r="B158" s="287" t="s">
        <v>585</v>
      </c>
      <c r="C158" s="287" t="s">
        <v>586</v>
      </c>
      <c r="D158" s="288" t="s">
        <v>587</v>
      </c>
      <c r="E158" s="287" t="s">
        <v>640</v>
      </c>
      <c r="F158" s="287" t="s">
        <v>492</v>
      </c>
      <c r="G158" s="283"/>
      <c r="H158" s="81"/>
      <c r="I158" s="82" t="s">
        <v>119</v>
      </c>
      <c r="J158" s="82" t="s">
        <v>205</v>
      </c>
    </row>
    <row r="159" spans="1:10">
      <c r="A159" s="287" t="s">
        <v>61</v>
      </c>
      <c r="B159" s="287" t="s">
        <v>588</v>
      </c>
      <c r="C159" s="287" t="s">
        <v>589</v>
      </c>
      <c r="D159" s="288" t="s">
        <v>590</v>
      </c>
      <c r="E159" s="287" t="s">
        <v>640</v>
      </c>
      <c r="F159" s="287" t="s">
        <v>492</v>
      </c>
      <c r="G159" s="283"/>
      <c r="H159" s="81"/>
      <c r="I159" s="82" t="s">
        <v>119</v>
      </c>
      <c r="J159" s="82" t="s">
        <v>205</v>
      </c>
    </row>
    <row r="160" spans="1:10">
      <c r="A160" s="287" t="s">
        <v>61</v>
      </c>
      <c r="B160" s="287" t="s">
        <v>591</v>
      </c>
      <c r="C160" s="287" t="s">
        <v>592</v>
      </c>
      <c r="D160" s="288" t="s">
        <v>593</v>
      </c>
      <c r="E160" s="287" t="s">
        <v>640</v>
      </c>
      <c r="F160" s="287" t="s">
        <v>488</v>
      </c>
      <c r="G160" s="283"/>
      <c r="H160" s="81"/>
      <c r="I160" s="82" t="s">
        <v>119</v>
      </c>
      <c r="J160" s="82" t="s">
        <v>205</v>
      </c>
    </row>
  </sheetData>
  <sheetProtection selectLockedCells="1"/>
  <conditionalFormatting sqref="B151:B154 B124:B126 B1:B14 B138 B140:B148 B100:B113 B25:B66 B16:B23 B68:B96 B156:B1048576 B115:B122">
    <cfRule type="duplicateValues" dxfId="7" priority="7"/>
  </conditionalFormatting>
  <conditionalFormatting sqref="C100:C113 C2:C9 C16:C22 C25:C66 C68:C96 C124:C148 C11:C14 C115:C122">
    <cfRule type="duplicateValues" dxfId="6" priority="1010"/>
  </conditionalFormatting>
  <conditionalFormatting sqref="D1:D160">
    <cfRule type="duplicateValues" dxfId="5" priority="1034"/>
  </conditionalFormatting>
  <conditionalFormatting sqref="D1:D1048576">
    <cfRule type="duplicateValues" dxfId="4" priority="1"/>
    <cfRule type="duplicateValues" dxfId="3" priority="2"/>
    <cfRule type="duplicateValues" dxfId="2" priority="5"/>
    <cfRule type="duplicateValues" dxfId="1" priority="6"/>
  </conditionalFormatting>
  <conditionalFormatting sqref="H1:H1048576">
    <cfRule type="cellIs" dxfId="0" priority="4" operator="equal">
      <formula>"Desligado"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&amp;L_x000D_&amp;1#&amp;"Aptos"&amp;10&amp;K000000 Uso Corporativo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17D3E9-DF35-4C81-8B3D-CE64B601B5C0}">
          <x14:formula1>
            <xm:f>'Lista Pendencia'!$A$1:$A$21</xm:f>
          </x14:formula1>
          <xm:sqref>H2:H160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26F1CD2B45B9C4C894002560E0BD142" ma:contentTypeVersion="1" ma:contentTypeDescription="Crie um novo documento." ma:contentTypeScope="" ma:versionID="f4a1b93fec6e716e2ca9abad63531a40">
  <xsd:schema xmlns:xsd="http://www.w3.org/2001/XMLSchema" xmlns:xs="http://www.w3.org/2001/XMLSchema" xmlns:p="http://schemas.microsoft.com/office/2006/metadata/properties" xmlns:ns3="f2f9e23e-5e61-4470-9086-ebd7a1ce8bdf" targetNamespace="http://schemas.microsoft.com/office/2006/metadata/properties" ma:root="true" ma:fieldsID="3c49c4701ea1cf54364ca03533ff3772" ns3:_="">
    <xsd:import namespace="f2f9e23e-5e61-4470-9086-ebd7a1ce8bd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9e23e-5e61-4470-9086-ebd7a1ce8bd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EB286D-7B66-4B58-8665-C13E847E4E3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6DBA938-95E5-4BDA-B51A-82531F644C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f9e23e-5e61-4470-9086-ebd7a1ce8b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4CD28B-78CD-4121-BD6B-F39B537912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Lista Pendencia</vt:lpstr>
      <vt:lpstr>Presença</vt:lpstr>
      <vt:lpstr>Técnicos</vt:lpstr>
      <vt:lpstr>Desligado</vt:lpstr>
      <vt:lpstr>Dinamica_Setor</vt:lpstr>
      <vt:lpstr>CO Digital_Falha</vt:lpstr>
      <vt:lpstr>HC_Eng</vt:lpstr>
      <vt:lpstr>Dados</vt:lpstr>
      <vt:lpstr>Eficiencia</vt:lpstr>
      <vt:lpstr>TecnicoXSetorXSuper</vt:lpstr>
      <vt:lpstr>Inventário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 Bortolamedi</dc:creator>
  <cp:keywords/>
  <dc:description/>
  <cp:lastModifiedBy>Leandro Gnoatto</cp:lastModifiedBy>
  <cp:revision/>
  <dcterms:created xsi:type="dcterms:W3CDTF">2025-10-27T14:02:20Z</dcterms:created>
  <dcterms:modified xsi:type="dcterms:W3CDTF">2026-04-18T14:10:58Z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53ca10-5506-4a10-a8c3-276fcc070e3f_Enabled">
    <vt:lpwstr>true</vt:lpwstr>
  </property>
  <property fmtid="{D5CDD505-2E9C-101B-9397-08002B2CF9AE}" pid="3" name="MSIP_Label_fa53ca10-5506-4a10-a8c3-276fcc070e3f_SetDate">
    <vt:lpwstr>2025-10-27T14:04:29Z</vt:lpwstr>
  </property>
  <property fmtid="{D5CDD505-2E9C-101B-9397-08002B2CF9AE}" pid="4" name="MSIP_Label_fa53ca10-5506-4a10-a8c3-276fcc070e3f_Method">
    <vt:lpwstr>Privileged</vt:lpwstr>
  </property>
  <property fmtid="{D5CDD505-2E9C-101B-9397-08002B2CF9AE}" pid="5" name="MSIP_Label_fa53ca10-5506-4a10-a8c3-276fcc070e3f_Name">
    <vt:lpwstr>Classificação de Uso Corporativo</vt:lpwstr>
  </property>
  <property fmtid="{D5CDD505-2E9C-101B-9397-08002B2CF9AE}" pid="6" name="MSIP_Label_fa53ca10-5506-4a10-a8c3-276fcc070e3f_SiteId">
    <vt:lpwstr>df1b464d-c105-4b6b-95c1-c07df632da76</vt:lpwstr>
  </property>
  <property fmtid="{D5CDD505-2E9C-101B-9397-08002B2CF9AE}" pid="7" name="MSIP_Label_fa53ca10-5506-4a10-a8c3-276fcc070e3f_ActionId">
    <vt:lpwstr>10aae547-60a9-4af5-be7b-ea6d8c5be6ee</vt:lpwstr>
  </property>
  <property fmtid="{D5CDD505-2E9C-101B-9397-08002B2CF9AE}" pid="8" name="MSIP_Label_fa53ca10-5506-4a10-a8c3-276fcc070e3f_ContentBits">
    <vt:lpwstr>2</vt:lpwstr>
  </property>
  <property fmtid="{D5CDD505-2E9C-101B-9397-08002B2CF9AE}" pid="9" name="MSIP_Label_fa53ca10-5506-4a10-a8c3-276fcc070e3f_Tag">
    <vt:lpwstr>10, 0, 1, 1</vt:lpwstr>
  </property>
  <property fmtid="{D5CDD505-2E9C-101B-9397-08002B2CF9AE}" pid="10" name="ContentTypeId">
    <vt:lpwstr>0x010100926F1CD2B45B9C4C894002560E0BD142</vt:lpwstr>
  </property>
</Properties>
</file>